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 autoCompressPictures="0"/>
  <mc:AlternateContent xmlns:mc="http://schemas.openxmlformats.org/markup-compatibility/2006">
    <mc:Choice Requires="x15">
      <x15ac:absPath xmlns:x15ac="http://schemas.microsoft.com/office/spreadsheetml/2010/11/ac" url="C:\Users\sapie\OneDrive\Desktop\"/>
    </mc:Choice>
  </mc:AlternateContent>
  <bookViews>
    <workbookView xWindow="-34704" yWindow="816" windowWidth="24204" windowHeight="16464" tabRatio="599" activeTab="5"/>
  </bookViews>
  <sheets>
    <sheet name="anagrafica" sheetId="78" r:id="rId1"/>
    <sheet name="extramuros" sheetId="1" r:id="rId2"/>
    <sheet name="dipendenti" sheetId="10" r:id="rId3"/>
    <sheet name="costiACBD" sheetId="20" r:id="rId4"/>
    <sheet name="creditoSpettante" sheetId="22" r:id="rId5"/>
    <sheet name="diin" sheetId="15" r:id="rId6"/>
    <sheet name="grafici" sheetId="18" r:id="rId7"/>
    <sheet name="tabelle" sheetId="9" state="hidden" r:id="rId8"/>
  </sheets>
  <definedNames>
    <definedName name="_xlnm.Print_Area" localSheetId="1">extramuros!#REF!</definedName>
  </definedNames>
  <calcPr calcId="162913"/>
  <extLst>
    <ext xmlns:x14="http://schemas.microsoft.com/office/spreadsheetml/2009/9/main" uri="{79F54976-1DA5-4618-B147-4CDE4B953A38}">
      <x14:workbookPr defaultImageDpi="330"/>
    </ext>
  </extLst>
</workbook>
</file>

<file path=xl/calcChain.xml><?xml version="1.0" encoding="utf-8"?>
<calcChain xmlns="http://schemas.openxmlformats.org/spreadsheetml/2006/main">
  <c r="D29" i="22" l="1"/>
  <c r="D28" i="22"/>
  <c r="D23" i="22"/>
  <c r="D22" i="22"/>
  <c r="D25" i="22" s="1"/>
  <c r="D21" i="22"/>
  <c r="D20" i="22"/>
  <c r="D30" i="22" l="1"/>
  <c r="S8" i="10"/>
  <c r="S9" i="10"/>
  <c r="S10" i="10"/>
  <c r="S11" i="10"/>
  <c r="S12" i="10"/>
  <c r="S13" i="10"/>
  <c r="S14" i="10"/>
  <c r="G8" i="10"/>
  <c r="R8" i="10" s="1"/>
  <c r="G9" i="10"/>
  <c r="R9" i="10" s="1"/>
  <c r="T9" i="10" s="1"/>
  <c r="G10" i="10"/>
  <c r="R10" i="10" s="1"/>
  <c r="T10" i="10" s="1"/>
  <c r="G11" i="10"/>
  <c r="R11" i="10" s="1"/>
  <c r="T11" i="10" s="1"/>
  <c r="G12" i="10"/>
  <c r="R12" i="10" s="1"/>
  <c r="T12" i="10" s="1"/>
  <c r="G13" i="10"/>
  <c r="R13" i="10" s="1"/>
  <c r="T13" i="10" s="1"/>
  <c r="G14" i="10"/>
  <c r="R14" i="10" s="1"/>
  <c r="G15" i="10"/>
  <c r="G16" i="10"/>
  <c r="G17" i="10"/>
  <c r="T14" i="10" l="1"/>
  <c r="T8" i="10"/>
  <c r="H38" i="20"/>
  <c r="H37" i="20"/>
  <c r="H35" i="20"/>
  <c r="H34" i="20"/>
  <c r="H32" i="20"/>
  <c r="H31" i="20"/>
  <c r="H27" i="20"/>
  <c r="J27" i="20" s="1"/>
  <c r="H28" i="20"/>
  <c r="J28" i="20" s="1"/>
  <c r="H29" i="20"/>
  <c r="J29" i="20" s="1"/>
  <c r="H26" i="20"/>
  <c r="H17" i="20"/>
  <c r="H18" i="20"/>
  <c r="H19" i="20"/>
  <c r="H16" i="20"/>
  <c r="H14" i="20"/>
  <c r="H13" i="20"/>
  <c r="H11" i="20"/>
  <c r="H10" i="20"/>
  <c r="H6" i="20"/>
  <c r="H7" i="20"/>
  <c r="H8" i="20"/>
  <c r="H5" i="20"/>
  <c r="S5" i="10" l="1"/>
  <c r="S6" i="10"/>
  <c r="S7" i="10"/>
  <c r="S15" i="10"/>
  <c r="S16" i="10"/>
  <c r="S17" i="10"/>
  <c r="S18" i="10"/>
  <c r="S19" i="10"/>
  <c r="G5" i="10"/>
  <c r="R5" i="10" s="1"/>
  <c r="G6" i="10"/>
  <c r="R6" i="10" s="1"/>
  <c r="G7" i="10"/>
  <c r="R7" i="10" s="1"/>
  <c r="R15" i="10"/>
  <c r="T15" i="10" s="1"/>
  <c r="R16" i="10"/>
  <c r="R17" i="10"/>
  <c r="G18" i="10"/>
  <c r="R18" i="10" s="1"/>
  <c r="G19" i="10"/>
  <c r="R19" i="10" s="1"/>
  <c r="T6" i="10" l="1"/>
  <c r="T19" i="10"/>
  <c r="T18" i="10"/>
  <c r="T17" i="10"/>
  <c r="T16" i="10"/>
  <c r="T5" i="10"/>
  <c r="T7" i="10"/>
  <c r="H20" i="20"/>
  <c r="G20" i="20"/>
  <c r="F20" i="20"/>
  <c r="E20" i="20"/>
  <c r="J19" i="20"/>
  <c r="J18" i="20"/>
  <c r="J17" i="20"/>
  <c r="G15" i="20"/>
  <c r="F15" i="20"/>
  <c r="E15" i="20"/>
  <c r="J14" i="20"/>
  <c r="H15" i="20"/>
  <c r="I12" i="20"/>
  <c r="H12" i="20"/>
  <c r="G12" i="20"/>
  <c r="F12" i="20"/>
  <c r="E12" i="20"/>
  <c r="J11" i="20"/>
  <c r="J10" i="20"/>
  <c r="G9" i="20"/>
  <c r="F9" i="20"/>
  <c r="E9" i="20"/>
  <c r="J8" i="20"/>
  <c r="H9" i="20"/>
  <c r="J6" i="20"/>
  <c r="I9" i="20"/>
  <c r="J12" i="20" l="1"/>
  <c r="E21" i="20"/>
  <c r="J7" i="20"/>
  <c r="G21" i="20"/>
  <c r="F21" i="20"/>
  <c r="H21" i="20"/>
  <c r="J5" i="20"/>
  <c r="J9" i="20" l="1"/>
  <c r="I20" i="10" l="1"/>
  <c r="H20" i="10"/>
  <c r="F20" i="10"/>
  <c r="G4" i="10" l="1"/>
  <c r="S4" i="10"/>
  <c r="R4" i="10" l="1"/>
  <c r="R23" i="10" s="1"/>
  <c r="T4" i="10" l="1"/>
  <c r="T23" i="10" s="1"/>
  <c r="G20" i="10"/>
  <c r="J38" i="20"/>
  <c r="J35" i="20"/>
  <c r="J32" i="20"/>
  <c r="J31" i="20"/>
  <c r="H30" i="20"/>
  <c r="E30" i="20"/>
  <c r="F30" i="20"/>
  <c r="G30" i="20"/>
  <c r="E33" i="20"/>
  <c r="F33" i="20"/>
  <c r="G33" i="20"/>
  <c r="H33" i="20"/>
  <c r="I33" i="20"/>
  <c r="E36" i="20"/>
  <c r="F36" i="20"/>
  <c r="G36" i="20"/>
  <c r="H36" i="20"/>
  <c r="J33" i="20" l="1"/>
  <c r="T24" i="10"/>
  <c r="R24" i="10"/>
  <c r="H39" i="20"/>
  <c r="H40" i="20" s="1"/>
  <c r="G39" i="20"/>
  <c r="G40" i="20" s="1"/>
  <c r="D3" i="18" s="1"/>
  <c r="F39" i="20"/>
  <c r="F40" i="20" s="1"/>
  <c r="C3" i="18" s="1"/>
  <c r="E39" i="20"/>
  <c r="E40" i="20" s="1"/>
  <c r="B3" i="18" s="1"/>
  <c r="I6" i="1"/>
  <c r="I7" i="1"/>
  <c r="I8" i="1"/>
  <c r="I5" i="1"/>
  <c r="E3" i="18" l="1"/>
  <c r="I9" i="1"/>
  <c r="I13" i="20" s="1"/>
  <c r="I15" i="20" l="1"/>
  <c r="J13" i="20"/>
  <c r="J15" i="20" s="1"/>
  <c r="AB32" i="10"/>
  <c r="R20" i="10"/>
  <c r="R25" i="10" s="1"/>
  <c r="I34" i="20"/>
  <c r="D14" i="22"/>
  <c r="K26" i="18"/>
  <c r="J34" i="20" l="1"/>
  <c r="J36" i="20" s="1"/>
  <c r="T20" i="10"/>
  <c r="T25" i="10" s="1"/>
  <c r="AC32" i="10"/>
  <c r="AC33" i="10"/>
  <c r="I36" i="20"/>
  <c r="AB33" i="10"/>
  <c r="I26" i="20" l="1"/>
  <c r="J26" i="20" s="1"/>
  <c r="J30" i="20" s="1"/>
  <c r="D7" i="22" s="1"/>
  <c r="I16" i="20"/>
  <c r="J37" i="20"/>
  <c r="J39" i="20" s="1"/>
  <c r="D13" i="22"/>
  <c r="D15" i="22" s="1"/>
  <c r="E4" i="18" s="1"/>
  <c r="K25" i="18"/>
  <c r="M25" i="18" s="1"/>
  <c r="I30" i="20" l="1"/>
  <c r="I20" i="20"/>
  <c r="I21" i="20" s="1"/>
  <c r="J16" i="20"/>
  <c r="J20" i="20" s="1"/>
  <c r="J21" i="20" s="1"/>
  <c r="I39" i="20"/>
  <c r="D8" i="22"/>
  <c r="D10" i="22" s="1"/>
  <c r="J40" i="20"/>
  <c r="D6" i="22" s="1"/>
  <c r="I40" i="20" l="1"/>
  <c r="D5" i="22" s="1"/>
</calcChain>
</file>

<file path=xl/sharedStrings.xml><?xml version="1.0" encoding="utf-8"?>
<sst xmlns="http://schemas.openxmlformats.org/spreadsheetml/2006/main" count="340" uniqueCount="240">
  <si>
    <t>DATA FATTURA</t>
  </si>
  <si>
    <t>NUMERO FATTURA</t>
  </si>
  <si>
    <t>DESCRIZIONE</t>
  </si>
  <si>
    <t>% AMMISSIBILE</t>
  </si>
  <si>
    <t>STRUMENTI ED ATTREZZATURE DI LABORATORIO</t>
  </si>
  <si>
    <t>LICENZE, MODELLI E DISEGNI</t>
  </si>
  <si>
    <t>QUALIFICA</t>
  </si>
  <si>
    <t>MANSIONE</t>
  </si>
  <si>
    <t>DIPENDENTE</t>
  </si>
  <si>
    <t>LAUREA MAGISTRALE (5 ANNI)</t>
  </si>
  <si>
    <t>OPERAIO</t>
  </si>
  <si>
    <t>NOMINATIVO</t>
  </si>
  <si>
    <t>TOTALE ORE LAVORATE</t>
  </si>
  <si>
    <t>% R&amp;S TOTALE</t>
  </si>
  <si>
    <t>TOTALE ORE R&amp;S</t>
  </si>
  <si>
    <t>COSTO LORDO ANNUO</t>
  </si>
  <si>
    <t>COSTO ORARIO</t>
  </si>
  <si>
    <t>TOTALE COSTI R&amp;S</t>
  </si>
  <si>
    <t>TRL</t>
  </si>
  <si>
    <t>INCREMENTO</t>
  </si>
  <si>
    <t>IMPIANTI E MACCHINARI</t>
  </si>
  <si>
    <t>SPESE EXTRA MUROS</t>
  </si>
  <si>
    <t>PROFESSIONISTI AUTONOMI</t>
  </si>
  <si>
    <t>SPESE PER PRIVATIVE INDUSTRIALI</t>
  </si>
  <si>
    <t>CERTIFICAZIONE CONTABILE</t>
  </si>
  <si>
    <t>Lauree magistrali</t>
  </si>
  <si>
    <t>Qualifiche</t>
  </si>
  <si>
    <t>Tipi personale</t>
  </si>
  <si>
    <t>Tipi fatture</t>
  </si>
  <si>
    <t>Titoli di studio</t>
  </si>
  <si>
    <t>Esercizio</t>
  </si>
  <si>
    <t>LM-12 Design</t>
  </si>
  <si>
    <t>DIRIGENTE</t>
  </si>
  <si>
    <t>AMMINISTRATORE</t>
  </si>
  <si>
    <t>DIPLOMA DI SCUOLA MEDIA SUPERIORE</t>
  </si>
  <si>
    <t>1.RB. Principi di base osservati</t>
  </si>
  <si>
    <t>LM-13 Farmacia e farmacia industriale</t>
  </si>
  <si>
    <t>IMPIEGATO</t>
  </si>
  <si>
    <t>COCOPRO</t>
  </si>
  <si>
    <t>FORMAZIONE PROFESSIONALE POST-DIPLOMA</t>
  </si>
  <si>
    <t>2.RI. Concetto della tecnologia formulato</t>
  </si>
  <si>
    <t>LM-17 Fisica</t>
  </si>
  <si>
    <t>IMMOBILI</t>
  </si>
  <si>
    <t>LAUREA (3 ANNI)</t>
  </si>
  <si>
    <t>3.RI. Prova sperimentale del concetto</t>
  </si>
  <si>
    <t>LM-18 Informatica</t>
  </si>
  <si>
    <t>QUADRO</t>
  </si>
  <si>
    <t>PROFESSIONISTA</t>
  </si>
  <si>
    <t>4.RI. Validazione in laboratorio del concetto</t>
  </si>
  <si>
    <t>LM-20 Ingegneria aerospaziale e astronautica</t>
  </si>
  <si>
    <t>DOTTORATO DI RICERCA</t>
  </si>
  <si>
    <t>5.SS. Validazione della tecnologia nell'ambiente rilevante</t>
  </si>
  <si>
    <t>LM-21 Ingegneria biomedica</t>
  </si>
  <si>
    <t>ALTRO TITOLO DI STUDIO</t>
  </si>
  <si>
    <t>6.SS. Dimostrazione nell'ambiente rilevante</t>
  </si>
  <si>
    <t>LM-22 Ingegneria chimica</t>
  </si>
  <si>
    <t>7.SS. Dimostrazione nell'ambiente operativo</t>
  </si>
  <si>
    <t>LM-23 Ingegneria civile</t>
  </si>
  <si>
    <t>MATERIALI E PROTOTIPI</t>
  </si>
  <si>
    <t>8.SS. Sistema completo e qualificato</t>
  </si>
  <si>
    <t>LM-24 Ingegneria dei sistemi edilizi</t>
  </si>
  <si>
    <t>INTERESSI PASSIVI</t>
  </si>
  <si>
    <t>LM-25 Ingegneria dell'automazione</t>
  </si>
  <si>
    <t>LM-26 Ingegneria della sicurezza</t>
  </si>
  <si>
    <t>LM-27 Ingegneria delle telecomunicazioni</t>
  </si>
  <si>
    <t>LM-28 Ingegneria elettrica</t>
  </si>
  <si>
    <t>LM-29 Ingegneria elettronica</t>
  </si>
  <si>
    <t>LM-30 Ingegneria energetica e nucleare</t>
  </si>
  <si>
    <t>LM-31 Ingegneria gestionale</t>
  </si>
  <si>
    <t>LM-32 Ingegneria informatica</t>
  </si>
  <si>
    <t>LM-33 Ingegneria meccanica</t>
  </si>
  <si>
    <t>LM-34 Ingegneria navale</t>
  </si>
  <si>
    <t>LM-35 Ingegneria per l'ambiente e il territorio</t>
  </si>
  <si>
    <t>LM-4 Architettura e ingegneria edile - architettura</t>
  </si>
  <si>
    <t>LM-40 Matematica</t>
  </si>
  <si>
    <t>LM-44 Modellistica matematico-fisica per l'ingegneria</t>
  </si>
  <si>
    <t>LM-53 Scienza e ingegneria dei materiali</t>
  </si>
  <si>
    <t>LM-54 Scienze chimiche</t>
  </si>
  <si>
    <t>LM-6 Biologia</t>
  </si>
  <si>
    <t>LM-60 Scienze della natura</t>
  </si>
  <si>
    <t>LM-61 Scienze della nutrizione umana</t>
  </si>
  <si>
    <t>LM-66 Sicurezza informatica</t>
  </si>
  <si>
    <t>LM-69 Scienze e tecnologie agrarie</t>
  </si>
  <si>
    <t>LM-7 Biotecnologie agrarie</t>
  </si>
  <si>
    <t>LM-70 Scienze e tecnologie alimentari</t>
  </si>
  <si>
    <t>LM-71 Scienze e tecnologie della chimica industriale</t>
  </si>
  <si>
    <t>LM-72 Scienze e tecnologie della navigazione</t>
  </si>
  <si>
    <t>LM-73 Scienze e tecnologie forestali ed ambientali</t>
  </si>
  <si>
    <t>LM-74 Scienze e tecnologie geologiche</t>
  </si>
  <si>
    <t>LM-75 Scienze e tecnologie per l'ambiente e il territorio</t>
  </si>
  <si>
    <t>LM-79 Scienze geofisiche</t>
  </si>
  <si>
    <t>LM-8 Biotecnologie industriali</t>
  </si>
  <si>
    <t>LM-82 Scienze statistiche</t>
  </si>
  <si>
    <t>LM-86 Scienze zootecniche e tecnologie animali</t>
  </si>
  <si>
    <t>LM-9 Biotecnologie mediche, veterinarie e farmaceutiche</t>
  </si>
  <si>
    <t>LM-91 Tecniche e metodi per la societa' dell'informazione</t>
  </si>
  <si>
    <t>Fase 1</t>
  </si>
  <si>
    <t>fase 2</t>
  </si>
  <si>
    <t>fase3</t>
  </si>
  <si>
    <t>FASE</t>
  </si>
  <si>
    <t>ASSEGNAZIONE</t>
  </si>
  <si>
    <t>PROGETTO</t>
  </si>
  <si>
    <t xml:space="preserve">Acquisizione di nuove conoscenze </t>
  </si>
  <si>
    <t>Acquisizione di nuove conoscenze e ricerca di soluzioni migliorative</t>
  </si>
  <si>
    <t>Sperimentazione test pre-industriali delle soluzioni implementate</t>
  </si>
  <si>
    <t>SVILUPPO SPERIMENTALE</t>
  </si>
  <si>
    <t>GRADO DI INNOVAZIONE</t>
  </si>
  <si>
    <t>ORE</t>
  </si>
  <si>
    <t>COSTO</t>
  </si>
  <si>
    <t>COSTI DI R&amp;S ASSEGNATI PER TIPOLOGIA DI SPESA AMMISSIBILE</t>
  </si>
  <si>
    <t>MEDIA COSTI TRIENNIO</t>
  </si>
  <si>
    <t>COSTI        R&amp;S 2014</t>
  </si>
  <si>
    <t>COSTI        R&amp;S 2013</t>
  </si>
  <si>
    <t>COSTI        R&amp;S 2012</t>
  </si>
  <si>
    <t xml:space="preserve">DIPENDENTI </t>
  </si>
  <si>
    <t>AMMINISTRATORI</t>
  </si>
  <si>
    <t>CO.CO.PRO</t>
  </si>
  <si>
    <t>PROFESSIONISTI</t>
  </si>
  <si>
    <t>TOTALE ALTAMENTE QUALIFICATO</t>
  </si>
  <si>
    <t>A</t>
  </si>
  <si>
    <t>STRUMENTI E ATTREZZATURE DA LAVORATORIO</t>
  </si>
  <si>
    <t>TOT. STRUMENTI ED ATTREZZATURE DA LABORATORIO</t>
  </si>
  <si>
    <t>B</t>
  </si>
  <si>
    <t>C</t>
  </si>
  <si>
    <t>SPESE EXTRAMUROS</t>
  </si>
  <si>
    <t>TOT. CONTRATTI DI RICERCA EXTRA MUROS</t>
  </si>
  <si>
    <t>D</t>
  </si>
  <si>
    <t>TOT. COMPETENZE TECNICHE E PRIVATIVE INDUSTRIALI</t>
  </si>
  <si>
    <t>COSTI           R&amp;S 2017</t>
  </si>
  <si>
    <t>COSTI ESTERNI</t>
  </si>
  <si>
    <t>Scala Aziendale</t>
  </si>
  <si>
    <t>FORNITORE</t>
  </si>
  <si>
    <t>TOT IMPONIBILE</t>
  </si>
  <si>
    <t>TOT AMMISSIBILE</t>
  </si>
  <si>
    <t>Numero fornitori</t>
  </si>
  <si>
    <t>ANAGRAFICA FORNITORI</t>
  </si>
  <si>
    <t>COMUNE</t>
  </si>
  <si>
    <t>PROVINCIA</t>
  </si>
  <si>
    <t>PARTITA IVA</t>
  </si>
  <si>
    <t>PRG 1</t>
  </si>
  <si>
    <t>Mercato internazionale</t>
  </si>
  <si>
    <t>Mercato nazionale</t>
  </si>
  <si>
    <t>Ricerca di Base (RB)</t>
  </si>
  <si>
    <t>Ricerca Industriale                      (RI)</t>
  </si>
  <si>
    <t>Sviluppo Sperimentale                         (SS)</t>
  </si>
  <si>
    <t>OSL</t>
  </si>
  <si>
    <t>RICERCA INDUSTRIALE - FASE 1.1</t>
  </si>
  <si>
    <t>SVILUPPO SPERIEMNTALE - FASE 1.2</t>
  </si>
  <si>
    <t>SVILUPPO SPERIMENTALE - FASE 1.3</t>
  </si>
  <si>
    <t>GANTT PLURIENNALE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</si>
  <si>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 I progetti R&amp;S</t>
    </r>
  </si>
  <si>
    <t>GANTT ANNUALE</t>
  </si>
  <si>
    <r>
      <t xml:space="preserve">Da inserire nel paragrafo </t>
    </r>
    <r>
      <rPr>
        <b/>
        <sz val="11"/>
        <color theme="1"/>
        <rFont val="Calibri"/>
        <family val="2"/>
        <scheme val="minor"/>
      </rPr>
      <t>3.2.1 Progetto 1 (PRG1)</t>
    </r>
  </si>
  <si>
    <t>RICERCA DI BASE/INDUSTRIALE</t>
  </si>
  <si>
    <t>GANTT TRIENNALE</t>
  </si>
  <si>
    <t xml:space="preserve">1   2   3   4   5   6   7   8   9   10   11   12 </t>
  </si>
  <si>
    <t>SVILUPPO SPERIMENTALE - FASE 1.2</t>
  </si>
  <si>
    <t>ANDAMENTO GRAFICO RAPPRESENTATIVO</t>
  </si>
  <si>
    <t>Livello</t>
  </si>
  <si>
    <t>totale extramuros</t>
  </si>
  <si>
    <t>CREDITO DI IMPOSTA R&amp;S SPETTANTE</t>
  </si>
  <si>
    <t>IMPORTO</t>
  </si>
  <si>
    <t>Costi minimi esercizio</t>
  </si>
  <si>
    <t>Costi sostenuti</t>
  </si>
  <si>
    <t>Incremento complessivo</t>
  </si>
  <si>
    <t>Incremento VOCE A + VOCE C (50%)</t>
  </si>
  <si>
    <t>Contributo certificazione dei costi</t>
  </si>
  <si>
    <t>Competenze tecniche e privative industriali</t>
  </si>
  <si>
    <t>Consulenze extramuros</t>
  </si>
  <si>
    <t>COMPETENZE TECNICHE E PRIVATIVE INDUSTRIALI</t>
  </si>
  <si>
    <t>CONSULENZE EXTRAMUROS</t>
  </si>
  <si>
    <t>Titolo di studio</t>
  </si>
  <si>
    <t>%R&amp;S prj01</t>
  </si>
  <si>
    <t>FASE 2</t>
  </si>
  <si>
    <t>FASE 3</t>
  </si>
  <si>
    <t>anno 2012</t>
  </si>
  <si>
    <t>anno 2013</t>
  </si>
  <si>
    <t>anno 2014</t>
  </si>
  <si>
    <t>(tot costi pers.)</t>
  </si>
  <si>
    <t>spesa media</t>
  </si>
  <si>
    <t>incremento</t>
  </si>
  <si>
    <t>costi pers. x tipologia</t>
  </si>
  <si>
    <t>Ante R&amp;S</t>
  </si>
  <si>
    <t>SS</t>
  </si>
  <si>
    <t>Post R&amp;S</t>
  </si>
  <si>
    <t>Progetto complessivo</t>
  </si>
  <si>
    <t>Attività</t>
  </si>
  <si>
    <t>Ricerca pre-industriale e sviluppo applicativo sperimentale
finalizzato a sviluppo di 
Stazione di assemblaggio attrezzata</t>
  </si>
  <si>
    <t xml:space="preserve">Ricerca pre-industriale e sviluppo applicativo sperimentale
finalizzato a sviluppo di 
macchina assemblaggio e controllo mostrine </t>
  </si>
  <si>
    <t xml:space="preserve">Ricerca pre-industriale e sviluppo applicativo sperimentale
finalizzato a sviluppo di 
unità di inserimento starlock per assemblaggio </t>
  </si>
  <si>
    <t>Ricerca pre-industriale e sviluppo applicativo sperimentale
finalizzato a sviluppo di
miscelatore a colonna girabin</t>
  </si>
  <si>
    <t>Ricerca pre-industriale e sviluppo applicativo sperimentale
finalizzato a sviluppo di 
colonna girafusti</t>
  </si>
  <si>
    <t>l’assemblaggio di mostrine autoadesive effettuato a mano</t>
  </si>
  <si>
    <t>l’assemblaggio di mostrine autoadesive effettuato in modo automatico</t>
  </si>
  <si>
    <t>l’assemblaggio, collaudo ed certificazione di pannelli porta</t>
  </si>
  <si>
    <t>l’assemblaggio, collaudo ed certificazione di pannelli porta effettuato in modo automatizzato</t>
  </si>
  <si>
    <t xml:space="preserve">assemblaggio, controllo e certificazione qualità del logo sullo sportellino vano portaoggetti </t>
  </si>
  <si>
    <t>assemblaggio, controllo e certificazione qualità del logo sullo sportellino vano portaoggetti effettuato in modo automatizzato</t>
  </si>
  <si>
    <t xml:space="preserve">braccio girafusti in grado di accogliere e manipolare tipi diversi di gripper anche con punti di presa in diverse posizione </t>
  </si>
  <si>
    <t>braccio non esistente o con limitate funzionalità</t>
  </si>
  <si>
    <t xml:space="preserve">Caratterizzazione materiali di isolamento acustico </t>
  </si>
  <si>
    <t>Limitata o nessuna esperienze sulle problematiche di isolamento acustico.</t>
  </si>
  <si>
    <t>Esperienza e know-how specifici e applicativi sulle proprietà di isolamento acustico dei materiali</t>
  </si>
  <si>
    <t>Analisi, progettazione e sviluppo di soluzioni per lavorazioni di pelli e per la produzione di tomaie</t>
  </si>
  <si>
    <t>COSTI           R&amp;S 2015</t>
  </si>
  <si>
    <t>TOTALE PERSONALE TECNICO</t>
  </si>
  <si>
    <t>COMPETENZE TECNICHE E BENI IMMATERIALI</t>
  </si>
  <si>
    <t>Incremento VOCE B + VOCE D (25%)</t>
  </si>
  <si>
    <t>ASSEGNAZIONE DEI COSTI R&amp;S</t>
  </si>
  <si>
    <t>CREDITO SPETTANTE</t>
  </si>
  <si>
    <t>Dipendenti</t>
  </si>
  <si>
    <t>..</t>
  </si>
  <si>
    <t>Anagrafica</t>
  </si>
  <si>
    <t>Denominazione Società</t>
  </si>
  <si>
    <t>Forma Giuridica</t>
  </si>
  <si>
    <t>Indirizzo sede legale</t>
  </si>
  <si>
    <t>p.IVA</t>
  </si>
  <si>
    <t>Telefono</t>
  </si>
  <si>
    <t>Mail</t>
  </si>
  <si>
    <t>indirizzo unità locale</t>
  </si>
  <si>
    <t>Attività svolta dall'impresa</t>
  </si>
  <si>
    <t>Legale rappresentante</t>
  </si>
  <si>
    <t>nato a</t>
  </si>
  <si>
    <t>luogo</t>
  </si>
  <si>
    <t>Costi personale (voce B9)</t>
  </si>
  <si>
    <t>Fatturato (voce A1)</t>
  </si>
  <si>
    <t>Costi complessi R&amp;S</t>
  </si>
  <si>
    <t>Costi personale R&amp;S</t>
  </si>
  <si>
    <t>Progetto Ricerca</t>
  </si>
  <si>
    <t>Titoli Progetti R&amp;S</t>
  </si>
  <si>
    <t>Dettagli Progetti R&amp;S</t>
  </si>
  <si>
    <t>coordinate DIIN</t>
  </si>
  <si>
    <t>Check Dati contabili</t>
  </si>
  <si>
    <t>Extramuros</t>
  </si>
  <si>
    <t>Costo lordo di ciascun dipendente R&amp;S</t>
  </si>
  <si>
    <t>Livello, Qualifica, Mansione, Titolo studio</t>
  </si>
  <si>
    <t>Generali pratica</t>
  </si>
  <si>
    <t>Anno di Riferimento</t>
  </si>
  <si>
    <t>Numero Dipendenti</t>
  </si>
  <si>
    <t>Incremento VOCE B + VOCE D (50%)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</si>
</sst>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&quot;€&quot;\ #,##0.00"/>
    <numFmt numFmtId="165" formatCode="[$-F800]dddd\,\ mmmm\ dd\,\ yyyy"/>
  </numFmts>
  <fonts count="35" x14ac:knownFonts="1">
    <font>
      <sz val="10"/>
      <color rgb="FF000000"/>
      <name val="Arial"/>
    </font>
    <font>
      <sz val="11"/>
      <color theme="1"/>
      <name val="Calibri"/>
      <family val="2"/>
      <scheme val="minor"/>
    </font>
    <font>
      <sz val="10"/>
      <color rgb="FF000000"/>
      <name val="Century Gothic"/>
      <family val="2"/>
    </font>
    <font>
      <b/>
      <sz val="10"/>
      <color rgb="FF000000"/>
      <name val="Century Gothic"/>
      <family val="2"/>
    </font>
    <font>
      <b/>
      <sz val="8"/>
      <color rgb="FF000000"/>
      <name val="Century Gothic"/>
      <family val="2"/>
    </font>
    <font>
      <sz val="8"/>
      <color rgb="FF000000"/>
      <name val="Century Gothic"/>
      <family val="2"/>
    </font>
    <font>
      <b/>
      <sz val="8"/>
      <color rgb="FFFFFFFF"/>
      <name val="Century Gothic"/>
      <family val="2"/>
    </font>
    <font>
      <b/>
      <sz val="8"/>
      <name val="Century Gothic"/>
      <family val="2"/>
    </font>
    <font>
      <sz val="10"/>
      <color rgb="FF000000"/>
      <name val="Arial"/>
      <family val="2"/>
    </font>
    <font>
      <sz val="8"/>
      <name val="Arial"/>
      <family val="2"/>
    </font>
    <font>
      <b/>
      <sz val="12"/>
      <color rgb="FF000000"/>
      <name val="Century Gothic"/>
      <family val="2"/>
    </font>
    <font>
      <b/>
      <sz val="26"/>
      <color rgb="FF000000"/>
      <name val="Century Gothic"/>
      <family val="2"/>
    </font>
    <font>
      <sz val="12"/>
      <color rgb="FF000000"/>
      <name val="Century Gothic"/>
      <family val="2"/>
    </font>
    <font>
      <sz val="16"/>
      <color rgb="FF000000"/>
      <name val="Century Gothic"/>
      <family val="2"/>
    </font>
    <font>
      <b/>
      <sz val="24"/>
      <color rgb="FF000000"/>
      <name val="Century Gothic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rgb="FF000000"/>
      <name val="Arial"/>
      <family val="2"/>
    </font>
    <font>
      <b/>
      <sz val="14"/>
      <color rgb="FF000000"/>
      <name val="Arial"/>
      <family val="2"/>
    </font>
    <font>
      <b/>
      <sz val="10"/>
      <color rgb="FF000000"/>
      <name val="Arial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sz val="10"/>
      <color theme="1"/>
      <name val="Arial"/>
      <family val="2"/>
    </font>
    <font>
      <b/>
      <i/>
      <sz val="12"/>
      <color indexed="8"/>
      <name val="Century Gothic"/>
      <family val="2"/>
    </font>
    <font>
      <i/>
      <sz val="12"/>
      <color indexed="8"/>
      <name val="Century Gothic"/>
      <family val="2"/>
    </font>
    <font>
      <sz val="10"/>
      <name val="Century Gothic"/>
      <family val="2"/>
    </font>
    <font>
      <sz val="10"/>
      <color rgb="FF000000"/>
      <name val="Arial"/>
    </font>
    <font>
      <b/>
      <sz val="20"/>
      <color rgb="FF000000"/>
      <name val="Arial"/>
      <family val="2"/>
    </font>
    <font>
      <b/>
      <sz val="10"/>
      <color rgb="FF0000CC"/>
      <name val="Arial"/>
      <family val="2"/>
    </font>
    <font>
      <b/>
      <sz val="11"/>
      <color rgb="FF0000CC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none"/>
    </fill>
    <fill>
      <patternFill patternType="solid">
        <fgColor rgb="FF5B9BD5"/>
        <bgColor rgb="FF5B9BD5"/>
      </patternFill>
    </fill>
    <fill>
      <patternFill patternType="solid">
        <fgColor rgb="FFDDEBF7"/>
        <bgColor rgb="FFDDEBF7"/>
      </patternFill>
    </fill>
    <fill>
      <patternFill patternType="solid">
        <fgColor theme="0" tint="-0.14999847407452621"/>
        <bgColor rgb="FF5B9BD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rgb="FF5B9BD5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5B9BD5"/>
      </patternFill>
    </fill>
    <fill>
      <patternFill patternType="solid">
        <fgColor rgb="FFFFFFFF"/>
        <bgColor rgb="FFFFFFFF"/>
      </patternFill>
    </fill>
    <fill>
      <patternFill patternType="solid">
        <fgColor theme="4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rgb="FF9CC2E5"/>
      </left>
      <right style="thin">
        <color rgb="FF9CC2E5"/>
      </right>
      <top style="thin">
        <color rgb="FF9CC2E5"/>
      </top>
      <bottom style="thin">
        <color rgb="FF9CC2E5"/>
      </bottom>
      <diagonal/>
    </border>
    <border>
      <left style="thin">
        <color rgb="FF9CC2E5"/>
      </left>
      <right style="thin">
        <color rgb="FF9CC2E5"/>
      </right>
      <top/>
      <bottom style="thin">
        <color rgb="FF9CC2E5"/>
      </bottom>
      <diagonal/>
    </border>
    <border>
      <left/>
      <right/>
      <top style="thin">
        <color rgb="FF9BC2E6"/>
      </top>
      <bottom style="thin">
        <color rgb="FF9BC2E6"/>
      </bottom>
      <diagonal/>
    </border>
    <border>
      <left/>
      <right/>
      <top/>
      <bottom style="thin">
        <color rgb="FF9BC2E6"/>
      </bottom>
      <diagonal/>
    </border>
    <border>
      <left/>
      <right/>
      <top style="thin">
        <color rgb="FF9BC2E6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ck">
        <color theme="0" tint="-4.9989318521683403E-2"/>
      </left>
      <right style="thick">
        <color theme="0" tint="-4.9989318521683403E-2"/>
      </right>
      <top style="thick">
        <color theme="0" tint="-4.9989318521683403E-2"/>
      </top>
      <bottom style="thick">
        <color theme="0" tint="-4.9989318521683403E-2"/>
      </bottom>
      <diagonal/>
    </border>
    <border>
      <left/>
      <right/>
      <top style="thick">
        <color theme="0" tint="-4.9989318521683403E-2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rgb="FF000000"/>
      </top>
      <bottom style="thin">
        <color auto="1"/>
      </bottom>
      <diagonal/>
    </border>
  </borders>
  <cellStyleXfs count="97">
    <xf numFmtId="0" fontId="0" fillId="0" borderId="0"/>
    <xf numFmtId="0" fontId="8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2" borderId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31" fillId="2" borderId="0"/>
    <xf numFmtId="0" fontId="31" fillId="2" borderId="0"/>
  </cellStyleXfs>
  <cellXfs count="337">
    <xf numFmtId="0" fontId="0" fillId="2" borderId="0" xfId="0" applyFill="1" applyProtection="1">
      <protection locked="0"/>
    </xf>
    <xf numFmtId="0" fontId="0" fillId="2" borderId="0" xfId="0" applyFill="1" applyProtection="1"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2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5" fillId="2" borderId="0" xfId="0" applyFont="1" applyFill="1" applyAlignment="1" applyProtection="1">
      <alignment vertical="center" wrapText="1"/>
      <protection locked="0"/>
    </xf>
    <xf numFmtId="0" fontId="5" fillId="4" borderId="3" xfId="0" applyFont="1" applyFill="1" applyBorder="1" applyAlignment="1" applyProtection="1">
      <alignment vertical="center" wrapText="1"/>
      <protection locked="0"/>
    </xf>
    <xf numFmtId="0" fontId="5" fillId="2" borderId="3" xfId="0" applyFont="1" applyFill="1" applyBorder="1" applyAlignment="1" applyProtection="1">
      <alignment vertical="center" wrapText="1"/>
      <protection locked="0"/>
    </xf>
    <xf numFmtId="0" fontId="6" fillId="3" borderId="4" xfId="0" applyFont="1" applyFill="1" applyBorder="1" applyAlignment="1" applyProtection="1">
      <alignment horizontal="center" vertical="center" wrapText="1"/>
      <protection locked="0"/>
    </xf>
    <xf numFmtId="0" fontId="5" fillId="2" borderId="5" xfId="0" applyFont="1" applyFill="1" applyBorder="1" applyAlignment="1" applyProtection="1">
      <alignment vertical="center" wrapText="1"/>
      <protection locked="0"/>
    </xf>
    <xf numFmtId="0" fontId="7" fillId="5" borderId="6" xfId="0" applyFont="1" applyFill="1" applyBorder="1" applyAlignment="1">
      <alignment horizontal="center" vertical="center" wrapText="1"/>
    </xf>
    <xf numFmtId="0" fontId="0" fillId="2" borderId="0" xfId="0" applyFill="1" applyAlignment="1" applyProtection="1">
      <alignment vertical="center"/>
      <protection locked="0"/>
    </xf>
    <xf numFmtId="0" fontId="5" fillId="2" borderId="0" xfId="0" applyFont="1" applyFill="1" applyAlignment="1" applyProtection="1">
      <alignment vertical="center"/>
      <protection locked="0"/>
    </xf>
    <xf numFmtId="3" fontId="5" fillId="2" borderId="0" xfId="0" applyNumberFormat="1" applyFont="1" applyFill="1" applyAlignment="1" applyProtection="1">
      <alignment vertical="center"/>
      <protection locked="0"/>
    </xf>
    <xf numFmtId="4" fontId="5" fillId="2" borderId="0" xfId="0" applyNumberFormat="1" applyFont="1" applyFill="1" applyAlignment="1" applyProtection="1">
      <alignment vertical="center"/>
      <protection locked="0"/>
    </xf>
    <xf numFmtId="0" fontId="5" fillId="2" borderId="6" xfId="0" applyFont="1" applyFill="1" applyBorder="1" applyAlignment="1" applyProtection="1">
      <alignment vertical="center"/>
      <protection locked="0"/>
    </xf>
    <xf numFmtId="0" fontId="5" fillId="2" borderId="8" xfId="0" applyFont="1" applyFill="1" applyBorder="1" applyAlignment="1" applyProtection="1">
      <alignment vertical="center"/>
      <protection locked="0"/>
    </xf>
    <xf numFmtId="0" fontId="3" fillId="7" borderId="7" xfId="0" applyFont="1" applyFill="1" applyBorder="1" applyAlignment="1" applyProtection="1">
      <alignment horizontal="center" vertical="center"/>
      <protection locked="0"/>
    </xf>
    <xf numFmtId="0" fontId="3" fillId="7" borderId="26" xfId="0" applyFont="1" applyFill="1" applyBorder="1" applyAlignment="1" applyProtection="1">
      <alignment horizontal="center" vertical="center"/>
      <protection locked="0"/>
    </xf>
    <xf numFmtId="0" fontId="5" fillId="2" borderId="29" xfId="0" applyFont="1" applyFill="1" applyBorder="1" applyAlignment="1" applyProtection="1">
      <alignment vertical="center"/>
      <protection locked="0"/>
    </xf>
    <xf numFmtId="0" fontId="13" fillId="2" borderId="0" xfId="0" applyFont="1" applyFill="1" applyAlignment="1" applyProtection="1">
      <alignment vertical="center"/>
      <protection locked="0"/>
    </xf>
    <xf numFmtId="0" fontId="17" fillId="2" borderId="0" xfId="32"/>
    <xf numFmtId="0" fontId="18" fillId="2" borderId="0" xfId="32" applyFont="1"/>
    <xf numFmtId="0" fontId="17" fillId="7" borderId="6" xfId="32" applyFill="1" applyBorder="1"/>
    <xf numFmtId="0" fontId="18" fillId="2" borderId="6" xfId="32" applyFont="1" applyBorder="1" applyAlignment="1">
      <alignment horizontal="center"/>
    </xf>
    <xf numFmtId="4" fontId="5" fillId="6" borderId="6" xfId="0" applyNumberFormat="1" applyFont="1" applyFill="1" applyBorder="1" applyAlignment="1" applyProtection="1">
      <alignment vertical="center"/>
    </xf>
    <xf numFmtId="4" fontId="5" fillId="6" borderId="12" xfId="0" applyNumberFormat="1" applyFont="1" applyFill="1" applyBorder="1" applyAlignment="1" applyProtection="1">
      <alignment vertical="center"/>
    </xf>
    <xf numFmtId="4" fontId="5" fillId="6" borderId="29" xfId="0" applyNumberFormat="1" applyFont="1" applyFill="1" applyBorder="1" applyAlignment="1" applyProtection="1">
      <alignment vertical="center"/>
    </xf>
    <xf numFmtId="4" fontId="5" fillId="6" borderId="30" xfId="0" applyNumberFormat="1" applyFont="1" applyFill="1" applyBorder="1" applyAlignment="1" applyProtection="1">
      <alignment vertical="center"/>
    </xf>
    <xf numFmtId="0" fontId="17" fillId="2" borderId="37" xfId="32" applyBorder="1"/>
    <xf numFmtId="0" fontId="17" fillId="2" borderId="38" xfId="32" applyBorder="1"/>
    <xf numFmtId="0" fontId="17" fillId="2" borderId="18" xfId="32" applyBorder="1"/>
    <xf numFmtId="0" fontId="18" fillId="2" borderId="6" xfId="32" applyFont="1" applyBorder="1" applyAlignment="1">
      <alignment horizontal="center" vertical="center"/>
    </xf>
    <xf numFmtId="0" fontId="17" fillId="10" borderId="0" xfId="32" applyFill="1"/>
    <xf numFmtId="0" fontId="21" fillId="2" borderId="0" xfId="32" applyFont="1"/>
    <xf numFmtId="0" fontId="19" fillId="2" borderId="0" xfId="32" applyFont="1"/>
    <xf numFmtId="0" fontId="17" fillId="11" borderId="0" xfId="32" applyFill="1"/>
    <xf numFmtId="0" fontId="17" fillId="10" borderId="6" xfId="32" applyFill="1" applyBorder="1"/>
    <xf numFmtId="0" fontId="0" fillId="0" borderId="35" xfId="0" applyFont="1" applyFill="1" applyBorder="1" applyAlignment="1">
      <alignment horizontal="left" vertical="center" wrapText="1"/>
    </xf>
    <xf numFmtId="0" fontId="0" fillId="0" borderId="25" xfId="0" applyFont="1" applyFill="1" applyBorder="1" applyAlignment="1">
      <alignment horizontal="left" vertical="center" wrapText="1"/>
    </xf>
    <xf numFmtId="0" fontId="0" fillId="0" borderId="11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2" fillId="2" borderId="6" xfId="0" applyFont="1" applyFill="1" applyBorder="1" applyAlignment="1" applyProtection="1">
      <alignment horizontal="center" vertical="center"/>
      <protection locked="0"/>
    </xf>
    <xf numFmtId="0" fontId="2" fillId="2" borderId="29" xfId="0" applyFont="1" applyFill="1" applyBorder="1" applyAlignment="1" applyProtection="1">
      <alignment horizontal="center" vertical="center"/>
      <protection locked="0"/>
    </xf>
    <xf numFmtId="0" fontId="3" fillId="7" borderId="25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/>
      <protection locked="0"/>
    </xf>
    <xf numFmtId="0" fontId="3" fillId="7" borderId="6" xfId="0" applyFont="1" applyFill="1" applyBorder="1" applyAlignment="1" applyProtection="1">
      <alignment horizontal="center" vertical="center" wrapText="1"/>
      <protection locked="0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3" fillId="7" borderId="7" xfId="0" applyFont="1" applyFill="1" applyBorder="1" applyAlignment="1" applyProtection="1">
      <alignment horizontal="center" vertical="center" wrapText="1"/>
      <protection locked="0"/>
    </xf>
    <xf numFmtId="0" fontId="3" fillId="7" borderId="22" xfId="0" applyFont="1" applyFill="1" applyBorder="1" applyAlignment="1" applyProtection="1">
      <alignment horizontal="center" vertical="center" wrapText="1"/>
      <protection locked="0"/>
    </xf>
    <xf numFmtId="10" fontId="0" fillId="2" borderId="0" xfId="0" applyNumberFormat="1" applyFill="1" applyProtection="1">
      <protection locked="0"/>
    </xf>
    <xf numFmtId="10" fontId="7" fillId="5" borderId="6" xfId="0" applyNumberFormat="1" applyFont="1" applyFill="1" applyBorder="1" applyAlignment="1">
      <alignment horizontal="center" vertical="center" wrapText="1"/>
    </xf>
    <xf numFmtId="9" fontId="2" fillId="2" borderId="0" xfId="0" applyNumberFormat="1" applyFont="1" applyFill="1" applyProtection="1">
      <protection locked="0"/>
    </xf>
    <xf numFmtId="9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9" fontId="2" fillId="2" borderId="6" xfId="0" applyNumberFormat="1" applyFont="1" applyFill="1" applyBorder="1" applyProtection="1">
      <protection locked="0"/>
    </xf>
    <xf numFmtId="164" fontId="0" fillId="2" borderId="0" xfId="0" applyNumberFormat="1" applyFill="1" applyProtection="1">
      <protection locked="0"/>
    </xf>
    <xf numFmtId="164" fontId="3" fillId="7" borderId="7" xfId="0" applyNumberFormat="1" applyFont="1" applyFill="1" applyBorder="1" applyAlignment="1" applyProtection="1">
      <alignment horizontal="center" vertical="center" wrapText="1"/>
      <protection locked="0"/>
    </xf>
    <xf numFmtId="164" fontId="2" fillId="2" borderId="0" xfId="0" applyNumberFormat="1" applyFont="1" applyFill="1" applyProtection="1">
      <protection locked="0"/>
    </xf>
    <xf numFmtId="49" fontId="0" fillId="2" borderId="0" xfId="0" applyNumberFormat="1" applyFill="1" applyProtection="1">
      <protection locked="0"/>
    </xf>
    <xf numFmtId="49" fontId="3" fillId="7" borderId="6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Border="1" applyProtection="1">
      <protection locked="0"/>
    </xf>
    <xf numFmtId="1" fontId="0" fillId="2" borderId="0" xfId="0" applyNumberFormat="1" applyFill="1" applyAlignment="1" applyProtection="1">
      <alignment horizontal="center" vertical="center"/>
      <protection locked="0"/>
    </xf>
    <xf numFmtId="1" fontId="5" fillId="2" borderId="0" xfId="0" applyNumberFormat="1" applyFont="1" applyFill="1" applyAlignment="1" applyProtection="1">
      <alignment horizontal="center" vertical="center"/>
      <protection locked="0"/>
    </xf>
    <xf numFmtId="0" fontId="24" fillId="2" borderId="0" xfId="0" applyFont="1" applyFill="1" applyProtection="1">
      <protection locked="0"/>
    </xf>
    <xf numFmtId="1" fontId="24" fillId="2" borderId="0" xfId="0" applyNumberFormat="1" applyFont="1" applyFill="1" applyAlignment="1" applyProtection="1">
      <alignment horizontal="center" vertical="center"/>
      <protection locked="0"/>
    </xf>
    <xf numFmtId="10" fontId="24" fillId="2" borderId="0" xfId="0" applyNumberFormat="1" applyFont="1" applyFill="1" applyProtection="1">
      <protection locked="0"/>
    </xf>
    <xf numFmtId="4" fontId="4" fillId="2" borderId="0" xfId="0" applyNumberFormat="1" applyFont="1" applyFill="1" applyAlignment="1" applyProtection="1">
      <alignment vertical="center"/>
      <protection locked="0"/>
    </xf>
    <xf numFmtId="0" fontId="24" fillId="7" borderId="36" xfId="0" applyFont="1" applyFill="1" applyBorder="1" applyAlignment="1">
      <alignment horizontal="left" vertical="center" wrapText="1"/>
    </xf>
    <xf numFmtId="0" fontId="24" fillId="7" borderId="28" xfId="0" applyFont="1" applyFill="1" applyBorder="1" applyAlignment="1">
      <alignment horizontal="left" vertical="center" wrapText="1"/>
    </xf>
    <xf numFmtId="0" fontId="3" fillId="7" borderId="0" xfId="0" applyFont="1" applyFill="1" applyBorder="1" applyAlignment="1" applyProtection="1">
      <alignment horizontal="center" vertical="center"/>
      <protection locked="0"/>
    </xf>
    <xf numFmtId="2" fontId="5" fillId="2" borderId="6" xfId="0" applyNumberFormat="1" applyFont="1" applyFill="1" applyBorder="1" applyAlignment="1" applyProtection="1">
      <alignment vertical="center"/>
      <protection locked="0"/>
    </xf>
    <xf numFmtId="0" fontId="5" fillId="2" borderId="12" xfId="0" applyFont="1" applyFill="1" applyBorder="1" applyAlignment="1" applyProtection="1">
      <alignment vertical="center"/>
      <protection locked="0"/>
    </xf>
    <xf numFmtId="0" fontId="4" fillId="2" borderId="25" xfId="0" applyFont="1" applyFill="1" applyBorder="1" applyAlignment="1" applyProtection="1">
      <alignment vertical="center"/>
      <protection locked="0"/>
    </xf>
    <xf numFmtId="0" fontId="4" fillId="2" borderId="28" xfId="0" applyFont="1" applyFill="1" applyBorder="1" applyAlignment="1" applyProtection="1">
      <alignment vertical="center"/>
      <protection locked="0"/>
    </xf>
    <xf numFmtId="0" fontId="25" fillId="2" borderId="0" xfId="0" applyFont="1" applyFill="1" applyProtection="1">
      <protection locked="0"/>
    </xf>
    <xf numFmtId="0" fontId="12" fillId="2" borderId="8" xfId="0" applyFont="1" applyFill="1" applyBorder="1" applyAlignment="1" applyProtection="1">
      <alignment vertical="top" wrapText="1"/>
      <protection locked="0"/>
    </xf>
    <xf numFmtId="0" fontId="10" fillId="7" borderId="8" xfId="0" applyFont="1" applyFill="1" applyBorder="1" applyAlignment="1" applyProtection="1">
      <alignment vertical="center" wrapText="1"/>
      <protection locked="0"/>
    </xf>
    <xf numFmtId="0" fontId="27" fillId="2" borderId="0" xfId="0" applyFont="1" applyFill="1" applyProtection="1">
      <protection locked="0"/>
    </xf>
    <xf numFmtId="3" fontId="2" fillId="2" borderId="0" xfId="0" applyNumberFormat="1" applyFont="1" applyFill="1" applyProtection="1">
      <protection locked="0"/>
    </xf>
    <xf numFmtId="3" fontId="2" fillId="2" borderId="0" xfId="0" applyNumberFormat="1" applyFont="1" applyFill="1" applyProtection="1"/>
    <xf numFmtId="0" fontId="0" fillId="12" borderId="0" xfId="0" applyFill="1" applyProtection="1">
      <protection locked="0"/>
    </xf>
    <xf numFmtId="0" fontId="26" fillId="12" borderId="0" xfId="0" applyFont="1" applyFill="1" applyProtection="1">
      <protection locked="0"/>
    </xf>
    <xf numFmtId="0" fontId="5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Alignment="1" applyProtection="1">
      <alignment horizontal="left" vertical="center"/>
      <protection locked="0"/>
    </xf>
    <xf numFmtId="0" fontId="13" fillId="12" borderId="0" xfId="0" applyFont="1" applyFill="1" applyAlignment="1" applyProtection="1">
      <alignment vertical="center"/>
      <protection locked="0"/>
    </xf>
    <xf numFmtId="0" fontId="13" fillId="12" borderId="0" xfId="0" applyFont="1" applyFill="1" applyBorder="1" applyAlignment="1" applyProtection="1">
      <alignment horizontal="left" vertical="center"/>
      <protection locked="0"/>
    </xf>
    <xf numFmtId="0" fontId="24" fillId="12" borderId="0" xfId="0" applyFont="1" applyFill="1" applyProtection="1">
      <protection locked="0"/>
    </xf>
    <xf numFmtId="0" fontId="4" fillId="12" borderId="0" xfId="0" applyFont="1" applyFill="1" applyAlignment="1" applyProtection="1">
      <alignment vertical="center"/>
      <protection locked="0"/>
    </xf>
    <xf numFmtId="0" fontId="24" fillId="12" borderId="0" xfId="0" applyFont="1" applyFill="1" applyBorder="1" applyAlignment="1">
      <alignment horizontal="left" vertical="center" wrapText="1"/>
    </xf>
    <xf numFmtId="0" fontId="10" fillId="12" borderId="0" xfId="0" applyFont="1" applyFill="1" applyAlignment="1" applyProtection="1">
      <alignment horizontal="left" vertical="center"/>
      <protection locked="0"/>
    </xf>
    <xf numFmtId="0" fontId="0" fillId="12" borderId="0" xfId="0" applyFill="1" applyAlignment="1" applyProtection="1">
      <alignment vertical="center"/>
      <protection locked="0"/>
    </xf>
    <xf numFmtId="0" fontId="2" fillId="12" borderId="0" xfId="0" applyFont="1" applyFill="1" applyBorder="1" applyAlignment="1" applyProtection="1">
      <alignment vertical="top" wrapText="1"/>
      <protection locked="0"/>
    </xf>
    <xf numFmtId="14" fontId="2" fillId="12" borderId="0" xfId="0" applyNumberFormat="1" applyFont="1" applyFill="1" applyBorder="1" applyAlignment="1" applyProtection="1">
      <alignment vertical="top" wrapText="1"/>
      <protection locked="0"/>
    </xf>
    <xf numFmtId="0" fontId="2" fillId="12" borderId="0" xfId="0" applyFont="1" applyFill="1" applyBorder="1" applyAlignment="1" applyProtection="1">
      <alignment horizontal="left" vertical="top" wrapText="1"/>
      <protection locked="0"/>
    </xf>
    <xf numFmtId="164" fontId="0" fillId="12" borderId="0" xfId="0" applyNumberFormat="1" applyFill="1" applyProtection="1">
      <protection locked="0"/>
    </xf>
    <xf numFmtId="9" fontId="2" fillId="12" borderId="0" xfId="0" applyNumberFormat="1" applyFont="1" applyFill="1" applyProtection="1">
      <protection locked="0"/>
    </xf>
    <xf numFmtId="164" fontId="2" fillId="12" borderId="0" xfId="0" applyNumberFormat="1" applyFont="1" applyFill="1" applyProtection="1">
      <protection locked="0"/>
    </xf>
    <xf numFmtId="164" fontId="3" fillId="12" borderId="8" xfId="0" applyNumberFormat="1" applyFont="1" applyFill="1" applyBorder="1" applyAlignment="1" applyProtection="1">
      <alignment horizontal="center" vertical="center"/>
      <protection locked="0"/>
    </xf>
    <xf numFmtId="0" fontId="3" fillId="12" borderId="17" xfId="0" applyFont="1" applyFill="1" applyBorder="1" applyAlignment="1" applyProtection="1">
      <alignment horizontal="center" vertical="center"/>
      <protection locked="0"/>
    </xf>
    <xf numFmtId="0" fontId="0" fillId="12" borderId="38" xfId="0" applyFill="1" applyBorder="1" applyAlignment="1" applyProtection="1">
      <alignment vertical="center"/>
      <protection locked="0"/>
    </xf>
    <xf numFmtId="49" fontId="0" fillId="12" borderId="0" xfId="0" applyNumberFormat="1" applyFill="1" applyProtection="1">
      <protection locked="0"/>
    </xf>
    <xf numFmtId="49" fontId="13" fillId="12" borderId="0" xfId="0" applyNumberFormat="1" applyFont="1" applyFill="1" applyAlignment="1" applyProtection="1">
      <alignment horizontal="left" vertical="center"/>
      <protection locked="0"/>
    </xf>
    <xf numFmtId="49" fontId="13" fillId="12" borderId="0" xfId="0" applyNumberFormat="1" applyFont="1" applyFill="1" applyBorder="1" applyAlignment="1" applyProtection="1">
      <alignment horizontal="left" vertical="center"/>
      <protection locked="0"/>
    </xf>
    <xf numFmtId="0" fontId="0" fillId="12" borderId="0" xfId="0" applyFill="1" applyAlignment="1" applyProtection="1">
      <alignment horizontal="right"/>
      <protection locked="0"/>
    </xf>
    <xf numFmtId="0" fontId="2" fillId="12" borderId="0" xfId="0" applyFont="1" applyFill="1" applyProtection="1">
      <protection locked="0"/>
    </xf>
    <xf numFmtId="0" fontId="5" fillId="2" borderId="6" xfId="0" applyFont="1" applyFill="1" applyBorder="1" applyAlignment="1" applyProtection="1">
      <alignment horizontal="center" vertical="center" wrapText="1"/>
      <protection locked="0"/>
    </xf>
    <xf numFmtId="1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0" fontId="5" fillId="2" borderId="6" xfId="0" applyFont="1" applyFill="1" applyBorder="1" applyAlignment="1" applyProtection="1">
      <alignment horizontal="left" vertical="center" wrapText="1"/>
      <protection locked="0"/>
    </xf>
    <xf numFmtId="164" fontId="5" fillId="2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2" borderId="6" xfId="0" applyNumberFormat="1" applyFont="1" applyFill="1" applyBorder="1" applyAlignment="1" applyProtection="1">
      <alignment horizontal="center" vertical="top" wrapText="1"/>
      <protection locked="0"/>
    </xf>
    <xf numFmtId="0" fontId="5" fillId="2" borderId="6" xfId="0" applyFont="1" applyFill="1" applyBorder="1" applyAlignment="1" applyProtection="1">
      <alignment horizontal="center" vertical="top" wrapText="1"/>
      <protection locked="0"/>
    </xf>
    <xf numFmtId="10" fontId="5" fillId="0" borderId="1" xfId="0" applyNumberFormat="1" applyFont="1" applyFill="1" applyBorder="1" applyAlignment="1" applyProtection="1">
      <alignment vertical="center" wrapText="1"/>
      <protection locked="0"/>
    </xf>
    <xf numFmtId="0" fontId="4" fillId="2" borderId="0" xfId="0" applyFont="1" applyFill="1" applyProtection="1">
      <protection locked="0"/>
    </xf>
    <xf numFmtId="10" fontId="4" fillId="2" borderId="0" xfId="0" applyNumberFormat="1" applyFont="1" applyFill="1" applyProtection="1">
      <protection locked="0"/>
    </xf>
    <xf numFmtId="10" fontId="4" fillId="2" borderId="0" xfId="0" applyNumberFormat="1" applyFont="1" applyFill="1" applyProtection="1"/>
    <xf numFmtId="4" fontId="4" fillId="2" borderId="0" xfId="0" applyNumberFormat="1" applyFont="1" applyFill="1" applyAlignment="1" applyProtection="1">
      <alignment horizontal="right" vertical="center"/>
    </xf>
    <xf numFmtId="0" fontId="26" fillId="2" borderId="0" xfId="0" applyFont="1" applyFill="1" applyProtection="1">
      <protection locked="0"/>
    </xf>
    <xf numFmtId="10" fontId="26" fillId="2" borderId="0" xfId="0" applyNumberFormat="1" applyFont="1" applyFill="1" applyProtection="1">
      <protection locked="0"/>
    </xf>
    <xf numFmtId="164" fontId="4" fillId="2" borderId="0" xfId="0" applyNumberFormat="1" applyFont="1" applyFill="1" applyAlignment="1" applyProtection="1">
      <alignment vertical="center"/>
      <protection locked="0"/>
    </xf>
    <xf numFmtId="164" fontId="24" fillId="2" borderId="0" xfId="0" applyNumberFormat="1" applyFont="1" applyFill="1" applyProtection="1">
      <protection locked="0"/>
    </xf>
    <xf numFmtId="164" fontId="5" fillId="2" borderId="0" xfId="0" applyNumberFormat="1" applyFont="1" applyFill="1" applyAlignment="1" applyProtection="1">
      <alignment vertical="center"/>
      <protection locked="0"/>
    </xf>
    <xf numFmtId="10" fontId="5" fillId="6" borderId="2" xfId="0" applyNumberFormat="1" applyFont="1" applyFill="1" applyBorder="1" applyAlignment="1" applyProtection="1">
      <alignment vertical="center"/>
    </xf>
    <xf numFmtId="10" fontId="4" fillId="6" borderId="0" xfId="0" applyNumberFormat="1" applyFont="1" applyFill="1" applyProtection="1"/>
    <xf numFmtId="4" fontId="4" fillId="6" borderId="0" xfId="0" applyNumberFormat="1" applyFont="1" applyFill="1" applyAlignment="1" applyProtection="1">
      <alignment vertical="center"/>
    </xf>
    <xf numFmtId="4" fontId="30" fillId="0" borderId="39" xfId="0" applyNumberFormat="1" applyFont="1" applyFill="1" applyBorder="1" applyProtection="1">
      <protection locked="0"/>
    </xf>
    <xf numFmtId="0" fontId="28" fillId="12" borderId="0" xfId="0" applyFont="1" applyFill="1" applyAlignment="1" applyProtection="1">
      <alignment horizontal="right" vertical="center"/>
      <protection locked="0"/>
    </xf>
    <xf numFmtId="1" fontId="28" fillId="12" borderId="0" xfId="0" applyNumberFormat="1" applyFont="1" applyFill="1" applyAlignment="1" applyProtection="1">
      <alignment horizontal="center" vertical="center"/>
      <protection locked="0"/>
    </xf>
    <xf numFmtId="164" fontId="26" fillId="12" borderId="0" xfId="0" applyNumberFormat="1" applyFont="1" applyFill="1" applyProtection="1">
      <protection locked="0"/>
    </xf>
    <xf numFmtId="0" fontId="7" fillId="14" borderId="6" xfId="0" applyFont="1" applyFill="1" applyBorder="1" applyAlignment="1">
      <alignment horizontal="center" vertical="center" wrapText="1"/>
    </xf>
    <xf numFmtId="1" fontId="7" fillId="14" borderId="6" xfId="0" applyNumberFormat="1" applyFont="1" applyFill="1" applyBorder="1" applyAlignment="1">
      <alignment horizontal="center" vertical="center" wrapText="1"/>
    </xf>
    <xf numFmtId="0" fontId="5" fillId="15" borderId="6" xfId="1" applyFont="1" applyFill="1" applyBorder="1" applyAlignment="1" applyProtection="1">
      <alignment horizontal="left" vertical="center" wrapText="1"/>
      <protection locked="0"/>
    </xf>
    <xf numFmtId="0" fontId="5" fillId="15" borderId="7" xfId="1" applyFont="1" applyFill="1" applyBorder="1" applyAlignment="1" applyProtection="1">
      <alignment horizontal="left" vertical="center" wrapText="1"/>
      <protection locked="0"/>
    </xf>
    <xf numFmtId="0" fontId="4" fillId="12" borderId="0" xfId="0" applyFont="1" applyFill="1" applyProtection="1">
      <protection locked="0"/>
    </xf>
    <xf numFmtId="1" fontId="4" fillId="12" borderId="0" xfId="0" applyNumberFormat="1" applyFont="1" applyFill="1" applyAlignment="1" applyProtection="1">
      <alignment horizontal="center" vertical="center"/>
      <protection locked="0"/>
    </xf>
    <xf numFmtId="4" fontId="4" fillId="12" borderId="0" xfId="0" applyNumberFormat="1" applyFont="1" applyFill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  <protection locked="0"/>
    </xf>
    <xf numFmtId="4" fontId="5" fillId="12" borderId="0" xfId="0" applyNumberFormat="1" applyFont="1" applyFill="1" applyBorder="1" applyAlignment="1" applyProtection="1">
      <alignment vertical="center"/>
    </xf>
    <xf numFmtId="0" fontId="7" fillId="14" borderId="0" xfId="0" applyFont="1" applyFill="1" applyBorder="1" applyAlignment="1">
      <alignment horizontal="center" vertical="center" wrapText="1"/>
    </xf>
    <xf numFmtId="4" fontId="5" fillId="13" borderId="15" xfId="0" applyNumberFormat="1" applyFont="1" applyFill="1" applyBorder="1" applyAlignment="1" applyProtection="1">
      <alignment vertical="center"/>
    </xf>
    <xf numFmtId="4" fontId="5" fillId="8" borderId="16" xfId="0" applyNumberFormat="1" applyFont="1" applyFill="1" applyBorder="1" applyAlignment="1" applyProtection="1">
      <alignment vertical="center"/>
    </xf>
    <xf numFmtId="164" fontId="4" fillId="12" borderId="0" xfId="0" applyNumberFormat="1" applyFont="1" applyFill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3" fillId="7" borderId="19" xfId="0" applyFont="1" applyFill="1" applyBorder="1" applyAlignment="1" applyProtection="1">
      <alignment horizontal="center" vertical="center"/>
      <protection locked="0"/>
    </xf>
    <xf numFmtId="164" fontId="13" fillId="12" borderId="0" xfId="0" applyNumberFormat="1" applyFont="1" applyFill="1" applyBorder="1" applyAlignment="1" applyProtection="1">
      <alignment horizontal="right" vertical="center"/>
      <protection locked="0"/>
    </xf>
    <xf numFmtId="164" fontId="3" fillId="9" borderId="34" xfId="0" applyNumberFormat="1" applyFont="1" applyFill="1" applyBorder="1" applyAlignment="1" applyProtection="1">
      <alignment horizontal="center" vertical="center" wrapText="1"/>
      <protection locked="0"/>
    </xf>
    <xf numFmtId="164" fontId="0" fillId="0" borderId="6" xfId="0" applyNumberFormat="1" applyFont="1" applyBorder="1" applyAlignment="1">
      <alignment horizontal="right" vertical="center" wrapText="1"/>
    </xf>
    <xf numFmtId="164" fontId="3" fillId="7" borderId="29" xfId="0" applyNumberFormat="1" applyFont="1" applyFill="1" applyBorder="1" applyAlignment="1" applyProtection="1">
      <alignment horizontal="right" vertical="center"/>
    </xf>
    <xf numFmtId="164" fontId="0" fillId="0" borderId="24" xfId="0" applyNumberFormat="1" applyFont="1" applyBorder="1" applyAlignment="1">
      <alignment horizontal="right" vertical="center" wrapText="1"/>
    </xf>
    <xf numFmtId="164" fontId="0" fillId="0" borderId="6" xfId="0" applyNumberFormat="1" applyFont="1" applyFill="1" applyBorder="1" applyAlignment="1">
      <alignment horizontal="right" vertical="center" wrapText="1"/>
    </xf>
    <xf numFmtId="164" fontId="2" fillId="2" borderId="6" xfId="0" applyNumberFormat="1" applyFont="1" applyFill="1" applyBorder="1" applyAlignment="1" applyProtection="1">
      <alignment horizontal="right" vertical="center"/>
      <protection locked="0"/>
    </xf>
    <xf numFmtId="164" fontId="3" fillId="12" borderId="0" xfId="0" applyNumberFormat="1" applyFont="1" applyFill="1" applyAlignment="1" applyProtection="1">
      <alignment horizontal="right" vertical="center"/>
    </xf>
    <xf numFmtId="164" fontId="0" fillId="2" borderId="0" xfId="0" applyNumberFormat="1" applyFill="1" applyAlignment="1" applyProtection="1">
      <alignment horizontal="right"/>
      <protection locked="0"/>
    </xf>
    <xf numFmtId="164" fontId="2" fillId="0" borderId="6" xfId="0" applyNumberFormat="1" applyFont="1" applyFill="1" applyBorder="1" applyAlignment="1" applyProtection="1">
      <alignment horizontal="right" vertical="center"/>
      <protection locked="0"/>
    </xf>
    <xf numFmtId="164" fontId="8" fillId="0" borderId="6" xfId="0" applyNumberFormat="1" applyFont="1" applyBorder="1" applyAlignment="1">
      <alignment horizontal="right" vertical="center" wrapText="1"/>
    </xf>
    <xf numFmtId="164" fontId="3" fillId="9" borderId="33" xfId="0" applyNumberFormat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horizontal="right" vertical="center"/>
      <protection locked="0"/>
    </xf>
    <xf numFmtId="164" fontId="2" fillId="6" borderId="24" xfId="0" applyNumberFormat="1" applyFont="1" applyFill="1" applyBorder="1" applyAlignment="1" applyProtection="1">
      <alignment horizontal="right" vertical="center"/>
    </xf>
    <xf numFmtId="164" fontId="2" fillId="6" borderId="13" xfId="0" applyNumberFormat="1" applyFont="1" applyFill="1" applyBorder="1" applyAlignment="1" applyProtection="1">
      <alignment horizontal="right" vertical="center"/>
    </xf>
    <xf numFmtId="164" fontId="24" fillId="2" borderId="0" xfId="0" quotePrefix="1" applyNumberFormat="1" applyFont="1" applyFill="1" applyAlignment="1" applyProtection="1">
      <alignment horizontal="center"/>
      <protection locked="0"/>
    </xf>
    <xf numFmtId="164" fontId="24" fillId="2" borderId="0" xfId="0" applyNumberFormat="1" applyFont="1" applyFill="1" applyAlignment="1" applyProtection="1">
      <alignment horizontal="center"/>
      <protection locked="0"/>
    </xf>
    <xf numFmtId="164" fontId="0" fillId="6" borderId="0" xfId="0" applyNumberFormat="1" applyFill="1" applyProtection="1"/>
    <xf numFmtId="4" fontId="4" fillId="2" borderId="0" xfId="0" applyNumberFormat="1" applyFont="1" applyFill="1" applyAlignment="1" applyProtection="1">
      <alignment horizontal="center" vertical="center"/>
      <protection locked="0"/>
    </xf>
    <xf numFmtId="164" fontId="7" fillId="14" borderId="0" xfId="0" applyNumberFormat="1" applyFont="1" applyFill="1" applyBorder="1" applyAlignment="1">
      <alignment horizontal="center" vertical="center" wrapText="1"/>
    </xf>
    <xf numFmtId="164" fontId="5" fillId="12" borderId="0" xfId="0" applyNumberFormat="1" applyFont="1" applyFill="1" applyBorder="1" applyAlignment="1" applyProtection="1">
      <alignment vertical="center"/>
    </xf>
    <xf numFmtId="0" fontId="4" fillId="2" borderId="0" xfId="0" applyFont="1" applyFill="1" applyAlignment="1" applyProtection="1">
      <alignment horizontal="right"/>
      <protection locked="0"/>
    </xf>
    <xf numFmtId="164" fontId="10" fillId="7" borderId="17" xfId="0" applyNumberFormat="1" applyFont="1" applyFill="1" applyBorder="1" applyAlignment="1" applyProtection="1">
      <alignment vertical="center" wrapText="1"/>
    </xf>
    <xf numFmtId="164" fontId="26" fillId="12" borderId="0" xfId="0" applyNumberFormat="1" applyFont="1" applyFill="1" applyProtection="1"/>
    <xf numFmtId="164" fontId="0" fillId="2" borderId="0" xfId="0" applyNumberFormat="1" applyFill="1" applyProtection="1"/>
    <xf numFmtId="49" fontId="10" fillId="12" borderId="17" xfId="0" quotePrefix="1" applyNumberFormat="1" applyFont="1" applyFill="1" applyBorder="1" applyAlignment="1" applyProtection="1">
      <alignment horizontal="right" vertical="center"/>
      <protection locked="0"/>
    </xf>
    <xf numFmtId="4" fontId="30" fillId="0" borderId="48" xfId="0" applyNumberFormat="1" applyFont="1" applyFill="1" applyBorder="1" applyProtection="1">
      <protection locked="0"/>
    </xf>
    <xf numFmtId="0" fontId="7" fillId="16" borderId="6" xfId="0" applyFont="1" applyFill="1" applyBorder="1" applyAlignment="1">
      <alignment horizontal="center" vertical="center" wrapText="1"/>
    </xf>
    <xf numFmtId="164" fontId="7" fillId="16" borderId="6" xfId="0" applyNumberFormat="1" applyFont="1" applyFill="1" applyBorder="1" applyAlignment="1">
      <alignment horizontal="center" vertical="center" wrapText="1"/>
    </xf>
    <xf numFmtId="164" fontId="5" fillId="6" borderId="6" xfId="0" applyNumberFormat="1" applyFont="1" applyFill="1" applyBorder="1" applyAlignment="1" applyProtection="1">
      <alignment vertical="center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NumberFormat="1" applyFill="1" applyProtection="1">
      <protection locked="0"/>
    </xf>
    <xf numFmtId="0" fontId="28" fillId="12" borderId="0" xfId="0" applyNumberFormat="1" applyFont="1" applyFill="1" applyAlignment="1" applyProtection="1">
      <alignment horizontal="left" vertical="center"/>
      <protection locked="0"/>
    </xf>
    <xf numFmtId="0" fontId="7" fillId="14" borderId="6" xfId="0" applyNumberFormat="1" applyFont="1" applyFill="1" applyBorder="1" applyAlignment="1">
      <alignment horizontal="center" vertical="center" wrapText="1"/>
    </xf>
    <xf numFmtId="0" fontId="4" fillId="12" borderId="0" xfId="0" applyNumberFormat="1" applyFont="1" applyFill="1" applyProtection="1">
      <protection locked="0"/>
    </xf>
    <xf numFmtId="0" fontId="24" fillId="2" borderId="0" xfId="0" applyNumberFormat="1" applyFont="1" applyFill="1" applyProtection="1">
      <protection locked="0"/>
    </xf>
    <xf numFmtId="0" fontId="5" fillId="2" borderId="0" xfId="0" applyNumberFormat="1" applyFont="1" applyFill="1" applyAlignment="1" applyProtection="1">
      <alignment vertical="center"/>
      <protection locked="0"/>
    </xf>
    <xf numFmtId="0" fontId="5" fillId="2" borderId="0" xfId="0" applyNumberFormat="1" applyFont="1" applyFill="1" applyBorder="1" applyAlignment="1" applyProtection="1">
      <alignment horizontal="center" vertical="center"/>
      <protection locked="0"/>
    </xf>
    <xf numFmtId="0" fontId="29" fillId="12" borderId="0" xfId="0" applyFont="1" applyFill="1" applyAlignment="1" applyProtection="1">
      <alignment horizontal="center" vertical="center"/>
      <protection locked="0"/>
    </xf>
    <xf numFmtId="0" fontId="5" fillId="15" borderId="6" xfId="1" applyFont="1" applyFill="1" applyBorder="1" applyAlignment="1" applyProtection="1">
      <alignment horizontal="center" vertical="center" wrapText="1"/>
      <protection locked="0"/>
    </xf>
    <xf numFmtId="0" fontId="4" fillId="12" borderId="0" xfId="0" applyFont="1" applyFill="1" applyAlignment="1" applyProtection="1">
      <alignment horizontal="center"/>
      <protection locked="0"/>
    </xf>
    <xf numFmtId="10" fontId="4" fillId="2" borderId="0" xfId="0" applyNumberFormat="1" applyFont="1" applyFill="1" applyAlignment="1" applyProtection="1">
      <alignment horizontal="center"/>
      <protection locked="0"/>
    </xf>
    <xf numFmtId="0" fontId="24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49" fontId="0" fillId="13" borderId="38" xfId="0" applyNumberFormat="1" applyFill="1" applyBorder="1" applyAlignment="1" applyProtection="1">
      <alignment vertical="center" textRotation="90"/>
      <protection locked="0"/>
    </xf>
    <xf numFmtId="49" fontId="0" fillId="8" borderId="38" xfId="0" applyNumberFormat="1" applyFill="1" applyBorder="1" applyAlignment="1" applyProtection="1">
      <alignment vertical="center" textRotation="90"/>
      <protection locked="0"/>
    </xf>
    <xf numFmtId="0" fontId="0" fillId="2" borderId="0" xfId="0" applyFill="1" applyAlignment="1" applyProtection="1">
      <alignment horizontal="right"/>
      <protection locked="0"/>
    </xf>
    <xf numFmtId="0" fontId="26" fillId="2" borderId="0" xfId="0" applyFont="1" applyFill="1" applyAlignment="1" applyProtection="1">
      <alignment horizontal="right"/>
      <protection locked="0"/>
    </xf>
    <xf numFmtId="4" fontId="30" fillId="0" borderId="6" xfId="1" applyNumberFormat="1" applyFont="1" applyFill="1" applyBorder="1" applyAlignment="1" applyProtection="1">
      <alignment horizontal="right" vertical="center"/>
      <protection locked="0"/>
    </xf>
    <xf numFmtId="4" fontId="4" fillId="6" borderId="0" xfId="0" applyNumberFormat="1" applyFont="1" applyFill="1" applyAlignment="1" applyProtection="1">
      <alignment horizontal="right" vertical="center"/>
    </xf>
    <xf numFmtId="0" fontId="24" fillId="2" borderId="0" xfId="0" applyFont="1" applyFill="1" applyAlignment="1" applyProtection="1">
      <alignment horizontal="right"/>
      <protection locked="0"/>
    </xf>
    <xf numFmtId="0" fontId="5" fillId="12" borderId="14" xfId="0" applyFont="1" applyFill="1" applyBorder="1" applyAlignment="1" applyProtection="1">
      <alignment horizontal="right" vertical="center"/>
      <protection locked="0"/>
    </xf>
    <xf numFmtId="0" fontId="13" fillId="2" borderId="0" xfId="0" applyFont="1" applyFill="1" applyAlignment="1" applyProtection="1">
      <alignment horizontal="right" vertical="center"/>
      <protection locked="0"/>
    </xf>
    <xf numFmtId="10" fontId="4" fillId="2" borderId="0" xfId="0" applyNumberFormat="1" applyFont="1" applyFill="1" applyAlignment="1" applyProtection="1">
      <alignment horizontal="center"/>
    </xf>
    <xf numFmtId="0" fontId="0" fillId="12" borderId="0" xfId="0" applyFill="1" applyAlignment="1" applyProtection="1">
      <alignment horizontal="center"/>
      <protection locked="0"/>
    </xf>
    <xf numFmtId="4" fontId="5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center"/>
      <protection locked="0"/>
    </xf>
    <xf numFmtId="0" fontId="5" fillId="17" borderId="6" xfId="1" applyFont="1" applyFill="1" applyBorder="1" applyAlignment="1" applyProtection="1">
      <alignment horizontal="center" vertical="center" wrapText="1"/>
      <protection locked="0"/>
    </xf>
    <xf numFmtId="0" fontId="5" fillId="2" borderId="6" xfId="1" applyFont="1" applyFill="1" applyBorder="1" applyAlignment="1" applyProtection="1">
      <alignment horizontal="center" vertical="center" wrapText="1"/>
      <protection locked="0"/>
    </xf>
    <xf numFmtId="164" fontId="13" fillId="12" borderId="0" xfId="0" applyNumberFormat="1" applyFont="1" applyFill="1" applyAlignment="1" applyProtection="1">
      <alignment vertical="center"/>
      <protection locked="0"/>
    </xf>
    <xf numFmtId="164" fontId="13" fillId="12" borderId="0" xfId="0" applyNumberFormat="1" applyFont="1" applyFill="1" applyBorder="1" applyAlignment="1" applyProtection="1">
      <alignment vertical="center"/>
      <protection locked="0"/>
    </xf>
    <xf numFmtId="164" fontId="3" fillId="9" borderId="20" xfId="0" applyNumberFormat="1" applyFont="1" applyFill="1" applyBorder="1" applyAlignment="1" applyProtection="1">
      <alignment horizontal="center" vertical="center"/>
      <protection locked="0"/>
    </xf>
    <xf numFmtId="164" fontId="3" fillId="7" borderId="30" xfId="0" applyNumberFormat="1" applyFont="1" applyFill="1" applyBorder="1" applyAlignment="1" applyProtection="1">
      <alignment horizontal="center" vertical="center"/>
    </xf>
    <xf numFmtId="164" fontId="3" fillId="7" borderId="30" xfId="0" applyNumberFormat="1" applyFont="1" applyFill="1" applyBorder="1" applyAlignment="1" applyProtection="1">
      <alignment horizontal="center" vertical="center"/>
      <protection locked="0"/>
    </xf>
    <xf numFmtId="164" fontId="2" fillId="6" borderId="10" xfId="0" applyNumberFormat="1" applyFont="1" applyFill="1" applyBorder="1" applyAlignment="1" applyProtection="1">
      <alignment horizontal="center" vertical="center"/>
    </xf>
    <xf numFmtId="164" fontId="2" fillId="6" borderId="27" xfId="0" applyNumberFormat="1" applyFont="1" applyFill="1" applyBorder="1" applyAlignment="1" applyProtection="1">
      <alignment horizontal="center" vertical="center"/>
    </xf>
    <xf numFmtId="164" fontId="3" fillId="12" borderId="0" xfId="0" applyNumberFormat="1" applyFont="1" applyFill="1" applyAlignment="1" applyProtection="1">
      <alignment horizontal="center" vertical="center"/>
    </xf>
    <xf numFmtId="0" fontId="0" fillId="2" borderId="0" xfId="0" applyFill="1" applyAlignment="1" applyProtection="1">
      <alignment horizontal="center" wrapText="1"/>
      <protection locked="0"/>
    </xf>
    <xf numFmtId="0" fontId="0" fillId="2" borderId="0" xfId="0" applyFill="1" applyAlignment="1" applyProtection="1">
      <alignment wrapText="1"/>
      <protection locked="0"/>
    </xf>
    <xf numFmtId="164" fontId="3" fillId="2" borderId="0" xfId="0" applyNumberFormat="1" applyFont="1" applyFill="1" applyAlignment="1" applyProtection="1">
      <alignment horizontal="center"/>
      <protection locked="0"/>
    </xf>
    <xf numFmtId="0" fontId="8" fillId="7" borderId="49" xfId="0" applyFont="1" applyFill="1" applyBorder="1" applyAlignment="1" applyProtection="1">
      <alignment wrapText="1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wrapText="1"/>
      <protection locked="0"/>
    </xf>
    <xf numFmtId="0" fontId="8" fillId="2" borderId="0" xfId="0" applyFont="1" applyFill="1" applyAlignment="1" applyProtection="1">
      <alignment horizontal="left" vertical="top" wrapText="1"/>
      <protection locked="0"/>
    </xf>
    <xf numFmtId="164" fontId="0" fillId="2" borderId="0" xfId="0" applyNumberFormat="1" applyFill="1" applyAlignment="1" applyProtection="1">
      <alignment vertical="top"/>
      <protection locked="0"/>
    </xf>
    <xf numFmtId="164" fontId="2" fillId="2" borderId="0" xfId="0" applyNumberFormat="1" applyFont="1" applyFill="1" applyAlignment="1" applyProtection="1">
      <alignment vertical="top"/>
      <protection locked="0"/>
    </xf>
    <xf numFmtId="0" fontId="0" fillId="2" borderId="0" xfId="0" applyFill="1" applyAlignment="1" applyProtection="1">
      <alignment vertical="top"/>
      <protection locked="0"/>
    </xf>
    <xf numFmtId="0" fontId="8" fillId="2" borderId="0" xfId="0" applyFont="1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vertical="top" wrapText="1"/>
      <protection locked="0"/>
    </xf>
    <xf numFmtId="0" fontId="0" fillId="2" borderId="0" xfId="0" applyFill="1" applyAlignment="1" applyProtection="1">
      <alignment horizontal="center" vertical="top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9" fontId="33" fillId="2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164" fontId="2" fillId="6" borderId="51" xfId="0" applyNumberFormat="1" applyFont="1" applyFill="1" applyBorder="1" applyAlignment="1" applyProtection="1">
      <alignment horizontal="center" vertical="center"/>
    </xf>
    <xf numFmtId="164" fontId="2" fillId="6" borderId="12" xfId="0" applyNumberFormat="1" applyFont="1" applyFill="1" applyBorder="1" applyAlignment="1" applyProtection="1">
      <alignment horizontal="center" vertical="center"/>
    </xf>
    <xf numFmtId="0" fontId="8" fillId="0" borderId="35" xfId="0" applyFont="1" applyFill="1" applyBorder="1" applyAlignment="1">
      <alignment horizontal="left" vertical="center" wrapText="1"/>
    </xf>
    <xf numFmtId="164" fontId="8" fillId="6" borderId="6" xfId="0" applyNumberFormat="1" applyFont="1" applyFill="1" applyBorder="1" applyAlignment="1">
      <alignment horizontal="right" vertical="center" wrapText="1"/>
    </xf>
    <xf numFmtId="0" fontId="24" fillId="2" borderId="0" xfId="0" applyFont="1" applyFill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</xf>
    <xf numFmtId="164" fontId="3" fillId="18" borderId="0" xfId="0" applyNumberFormat="1" applyFont="1" applyFill="1" applyAlignment="1" applyProtection="1">
      <alignment horizontal="right" vertical="center"/>
    </xf>
    <xf numFmtId="164" fontId="3" fillId="18" borderId="0" xfId="0" applyNumberFormat="1" applyFont="1" applyFill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</xf>
    <xf numFmtId="164" fontId="3" fillId="18" borderId="30" xfId="0" applyNumberFormat="1" applyFont="1" applyFill="1" applyBorder="1" applyAlignment="1" applyProtection="1">
      <alignment horizontal="center" vertical="center"/>
      <protection locked="0"/>
    </xf>
    <xf numFmtId="164" fontId="12" fillId="6" borderId="17" xfId="0" applyNumberFormat="1" applyFont="1" applyFill="1" applyBorder="1" applyAlignment="1" applyProtection="1">
      <alignment vertical="top" wrapText="1"/>
      <protection locked="0"/>
    </xf>
    <xf numFmtId="164" fontId="2" fillId="6" borderId="6" xfId="0" applyNumberFormat="1" applyFont="1" applyFill="1" applyBorder="1" applyProtection="1"/>
    <xf numFmtId="164" fontId="3" fillId="6" borderId="0" xfId="0" applyNumberFormat="1" applyFont="1" applyFill="1" applyBorder="1" applyProtection="1"/>
    <xf numFmtId="0" fontId="0" fillId="9" borderId="0" xfId="0" applyFill="1"/>
    <xf numFmtId="4" fontId="30" fillId="0" borderId="52" xfId="0" applyNumberFormat="1" applyFont="1" applyFill="1" applyBorder="1" applyProtection="1">
      <protection locked="0"/>
    </xf>
    <xf numFmtId="0" fontId="0" fillId="0" borderId="0" xfId="0" applyFill="1"/>
    <xf numFmtId="0" fontId="34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left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Protection="1">
      <protection locked="0"/>
    </xf>
    <xf numFmtId="164" fontId="0" fillId="0" borderId="0" xfId="0" applyNumberFormat="1" applyFill="1" applyProtection="1">
      <protection locked="0"/>
    </xf>
    <xf numFmtId="9" fontId="2" fillId="0" borderId="0" xfId="0" applyNumberFormat="1" applyFont="1" applyFill="1" applyProtection="1">
      <protection locked="0"/>
    </xf>
    <xf numFmtId="164" fontId="2" fillId="0" borderId="0" xfId="0" applyNumberFormat="1" applyFont="1" applyFill="1" applyProtection="1"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0" borderId="0" xfId="0" applyNumberFormat="1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0" xfId="0" applyFont="1" applyFill="1" applyAlignment="1"/>
    <xf numFmtId="0" fontId="0" fillId="9" borderId="0" xfId="0" applyFill="1" applyAlignment="1">
      <alignment horizontal="center"/>
    </xf>
    <xf numFmtId="0" fontId="26" fillId="2" borderId="0" xfId="0" applyFont="1" applyFill="1" applyAlignment="1" applyProtection="1">
      <alignment horizontal="center"/>
      <protection locked="0"/>
    </xf>
    <xf numFmtId="9" fontId="3" fillId="12" borderId="31" xfId="0" applyNumberFormat="1" applyFont="1" applyFill="1" applyBorder="1" applyAlignment="1" applyProtection="1">
      <alignment horizontal="right"/>
      <protection locked="0"/>
    </xf>
    <xf numFmtId="0" fontId="3" fillId="9" borderId="43" xfId="0" applyFont="1" applyFill="1" applyBorder="1" applyAlignment="1" applyProtection="1">
      <alignment horizontal="center" vertical="center" wrapText="1"/>
      <protection locked="0"/>
    </xf>
    <xf numFmtId="0" fontId="3" fillId="9" borderId="44" xfId="0" applyFont="1" applyFill="1" applyBorder="1" applyAlignment="1" applyProtection="1">
      <alignment horizontal="center" vertical="center" wrapText="1"/>
      <protection locked="0"/>
    </xf>
    <xf numFmtId="0" fontId="11" fillId="7" borderId="40" xfId="0" applyFont="1" applyFill="1" applyBorder="1" applyAlignment="1" applyProtection="1">
      <alignment horizontal="center" vertical="center"/>
      <protection locked="0"/>
    </xf>
    <xf numFmtId="0" fontId="11" fillId="7" borderId="41" xfId="0" applyFont="1" applyFill="1" applyBorder="1" applyAlignment="1" applyProtection="1">
      <alignment horizontal="center" vertical="center"/>
      <protection locked="0"/>
    </xf>
    <xf numFmtId="0" fontId="11" fillId="7" borderId="42" xfId="0" applyFont="1" applyFill="1" applyBorder="1" applyAlignment="1" applyProtection="1">
      <alignment horizontal="center" vertical="center"/>
      <protection locked="0"/>
    </xf>
    <xf numFmtId="0" fontId="8" fillId="0" borderId="11" xfId="0" applyFont="1" applyBorder="1" applyAlignment="1">
      <alignment horizontal="center" vertical="center" wrapText="1"/>
    </xf>
    <xf numFmtId="0" fontId="0" fillId="0" borderId="21" xfId="0" applyFont="1" applyBorder="1" applyAlignment="1">
      <alignment horizontal="center" vertical="center" wrapText="1"/>
    </xf>
    <xf numFmtId="0" fontId="0" fillId="0" borderId="17" xfId="0" applyFont="1" applyBorder="1" applyAlignment="1">
      <alignment horizontal="center" vertical="center" wrapText="1"/>
    </xf>
    <xf numFmtId="0" fontId="5" fillId="2" borderId="8" xfId="0" applyFont="1" applyFill="1" applyBorder="1" applyAlignment="1" applyProtection="1">
      <alignment horizontal="center" vertical="center"/>
      <protection locked="0"/>
    </xf>
    <xf numFmtId="0" fontId="5" fillId="2" borderId="45" xfId="0" applyFont="1" applyFill="1" applyBorder="1" applyAlignment="1" applyProtection="1">
      <alignment horizontal="center" vertical="center"/>
      <protection locked="0"/>
    </xf>
    <xf numFmtId="0" fontId="10" fillId="12" borderId="0" xfId="0" applyFont="1" applyFill="1" applyAlignment="1" applyProtection="1">
      <alignment horizontal="left" vertical="center"/>
      <protection locked="0"/>
    </xf>
    <xf numFmtId="0" fontId="3" fillId="9" borderId="9" xfId="0" applyFont="1" applyFill="1" applyBorder="1" applyAlignment="1" applyProtection="1">
      <alignment horizontal="center" vertical="center"/>
      <protection locked="0"/>
    </xf>
    <xf numFmtId="0" fontId="3" fillId="9" borderId="46" xfId="0" applyFont="1" applyFill="1" applyBorder="1" applyAlignment="1" applyProtection="1">
      <alignment horizontal="center" vertical="center"/>
      <protection locked="0"/>
    </xf>
    <xf numFmtId="0" fontId="3" fillId="9" borderId="47" xfId="0" applyFont="1" applyFill="1" applyBorder="1" applyAlignment="1" applyProtection="1">
      <alignment horizontal="center" vertical="center"/>
      <protection locked="0"/>
    </xf>
    <xf numFmtId="0" fontId="14" fillId="9" borderId="40" xfId="0" applyFont="1" applyFill="1" applyBorder="1" applyAlignment="1" applyProtection="1">
      <alignment horizontal="center" vertical="center"/>
      <protection locked="0"/>
    </xf>
    <xf numFmtId="0" fontId="14" fillId="9" borderId="41" xfId="0" applyFont="1" applyFill="1" applyBorder="1" applyAlignment="1" applyProtection="1">
      <alignment horizontal="center" vertical="center"/>
      <protection locked="0"/>
    </xf>
    <xf numFmtId="0" fontId="14" fillId="9" borderId="42" xfId="0" applyFont="1" applyFill="1" applyBorder="1" applyAlignment="1" applyProtection="1">
      <alignment horizontal="center" vertical="center"/>
      <protection locked="0"/>
    </xf>
    <xf numFmtId="0" fontId="14" fillId="7" borderId="40" xfId="0" applyFont="1" applyFill="1" applyBorder="1" applyAlignment="1" applyProtection="1">
      <alignment horizontal="center" vertical="center"/>
      <protection locked="0"/>
    </xf>
    <xf numFmtId="0" fontId="14" fillId="7" borderId="41" xfId="0" applyFont="1" applyFill="1" applyBorder="1" applyAlignment="1" applyProtection="1">
      <alignment horizontal="center" vertical="center"/>
      <protection locked="0"/>
    </xf>
    <xf numFmtId="0" fontId="14" fillId="7" borderId="42" xfId="0" applyFont="1" applyFill="1" applyBorder="1" applyAlignment="1" applyProtection="1">
      <alignment horizontal="center" vertical="center"/>
      <protection locked="0"/>
    </xf>
    <xf numFmtId="0" fontId="12" fillId="7" borderId="8" xfId="0" applyFont="1" applyFill="1" applyBorder="1" applyAlignment="1" applyProtection="1">
      <alignment horizontal="left" vertical="center" wrapText="1"/>
      <protection locked="0"/>
    </xf>
    <xf numFmtId="0" fontId="12" fillId="7" borderId="17" xfId="0" applyFont="1" applyFill="1" applyBorder="1" applyAlignment="1" applyProtection="1">
      <alignment horizontal="left" vertical="center" wrapText="1"/>
      <protection locked="0"/>
    </xf>
    <xf numFmtId="0" fontId="17" fillId="10" borderId="0" xfId="32" applyFill="1" applyAlignment="1">
      <alignment horizontal="center"/>
    </xf>
    <xf numFmtId="0" fontId="18" fillId="2" borderId="32" xfId="32" applyFont="1" applyBorder="1" applyAlignment="1">
      <alignment horizontal="center"/>
    </xf>
    <xf numFmtId="0" fontId="18" fillId="2" borderId="0" xfId="32" applyFont="1" applyAlignment="1">
      <alignment horizontal="right" vertical="center" textRotation="90"/>
    </xf>
    <xf numFmtId="0" fontId="17" fillId="2" borderId="7" xfId="32" applyBorder="1" applyAlignment="1">
      <alignment horizontal="center"/>
    </xf>
    <xf numFmtId="0" fontId="17" fillId="2" borderId="13" xfId="32" applyBorder="1" applyAlignment="1">
      <alignment horizontal="center"/>
    </xf>
    <xf numFmtId="0" fontId="18" fillId="2" borderId="6" xfId="32" applyFont="1" applyBorder="1" applyAlignment="1">
      <alignment horizontal="center" vertical="center" textRotation="90" wrapText="1"/>
    </xf>
    <xf numFmtId="0" fontId="18" fillId="2" borderId="6" xfId="32" applyFont="1" applyBorder="1" applyAlignment="1">
      <alignment horizontal="center" vertical="center" textRotation="90"/>
    </xf>
    <xf numFmtId="0" fontId="17" fillId="2" borderId="7" xfId="32" applyBorder="1" applyAlignment="1">
      <alignment horizontal="center" vertical="center" wrapText="1"/>
    </xf>
    <xf numFmtId="0" fontId="17" fillId="2" borderId="13" xfId="32" applyBorder="1" applyAlignment="1">
      <alignment horizontal="center" vertical="center" wrapText="1"/>
    </xf>
    <xf numFmtId="0" fontId="17" fillId="2" borderId="22" xfId="32" applyBorder="1" applyAlignment="1">
      <alignment horizontal="center" vertical="center" wrapText="1"/>
    </xf>
    <xf numFmtId="0" fontId="17" fillId="2" borderId="31" xfId="32" applyBorder="1" applyAlignment="1">
      <alignment horizontal="center" vertical="center" wrapText="1"/>
    </xf>
    <xf numFmtId="0" fontId="17" fillId="2" borderId="37" xfId="32" applyBorder="1" applyAlignment="1">
      <alignment horizontal="center" vertical="center" wrapText="1"/>
    </xf>
    <xf numFmtId="0" fontId="17" fillId="2" borderId="23" xfId="32" applyBorder="1" applyAlignment="1">
      <alignment horizontal="center" vertical="center" wrapText="1"/>
    </xf>
    <xf numFmtId="0" fontId="17" fillId="2" borderId="32" xfId="32" applyBorder="1" applyAlignment="1">
      <alignment horizontal="center" vertical="center" wrapText="1"/>
    </xf>
    <xf numFmtId="0" fontId="17" fillId="2" borderId="18" xfId="32" applyBorder="1" applyAlignment="1">
      <alignment horizontal="center" vertical="center" wrapText="1"/>
    </xf>
    <xf numFmtId="0" fontId="20" fillId="2" borderId="0" xfId="32" applyFont="1" applyAlignment="1">
      <alignment horizontal="center"/>
    </xf>
    <xf numFmtId="0" fontId="17" fillId="2" borderId="0" xfId="32" applyAlignment="1">
      <alignment horizontal="center"/>
    </xf>
    <xf numFmtId="0" fontId="8" fillId="2" borderId="50" xfId="0" applyFont="1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left" vertical="top" wrapText="1"/>
      <protection locked="0"/>
    </xf>
    <xf numFmtId="0" fontId="0" fillId="2" borderId="50" xfId="0" applyFill="1" applyBorder="1" applyAlignment="1" applyProtection="1">
      <alignment horizontal="center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0" fontId="8" fillId="7" borderId="49" xfId="0" applyFont="1" applyFill="1" applyBorder="1" applyAlignment="1" applyProtection="1">
      <alignment horizontal="center" vertical="center"/>
      <protection locked="0"/>
    </xf>
    <xf numFmtId="0" fontId="0" fillId="7" borderId="49" xfId="0" applyFill="1" applyBorder="1" applyAlignment="1" applyProtection="1">
      <alignment horizontal="center" vertical="center"/>
      <protection locked="0"/>
    </xf>
    <xf numFmtId="0" fontId="32" fillId="10" borderId="49" xfId="0" applyFont="1" applyFill="1" applyBorder="1" applyAlignment="1" applyProtection="1">
      <alignment horizontal="center" vertical="center"/>
      <protection locked="0"/>
    </xf>
    <xf numFmtId="0" fontId="23" fillId="12" borderId="0" xfId="0" applyFont="1" applyFill="1" applyAlignment="1" applyProtection="1">
      <alignment horizontal="center"/>
      <protection locked="0"/>
    </xf>
    <xf numFmtId="0" fontId="22" fillId="2" borderId="0" xfId="0" applyFont="1" applyFill="1" applyAlignment="1" applyProtection="1">
      <alignment horizontal="center" vertical="center"/>
      <protection locked="0"/>
    </xf>
    <xf numFmtId="0" fontId="0" fillId="10" borderId="0" xfId="0" applyFill="1" applyAlignment="1" applyProtection="1">
      <alignment horizontal="center"/>
      <protection locked="0"/>
    </xf>
    <xf numFmtId="0" fontId="0" fillId="2" borderId="0" xfId="0" applyFill="1" applyBorder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8" fillId="2" borderId="50" xfId="0" applyFont="1" applyFill="1" applyBorder="1" applyAlignment="1" applyProtection="1">
      <alignment vertical="top" wrapText="1"/>
      <protection locked="0"/>
    </xf>
    <xf numFmtId="0" fontId="0" fillId="9" borderId="0" xfId="0" applyFill="1" applyBorder="1"/>
    <xf numFmtId="0" fontId="0" fillId="12" borderId="0" xfId="0" applyFill="1" applyAlignment="1" applyProtection="1">
      <alignment vertical="top"/>
      <protection locked="0"/>
    </xf>
    <xf numFmtId="0" fontId="26" fillId="12" borderId="0" xfId="0" applyFont="1" applyFill="1" applyAlignment="1" applyProtection="1">
      <alignment vertical="top"/>
      <protection locked="0"/>
    </xf>
    <xf numFmtId="164" fontId="4" fillId="12" borderId="0" xfId="0" applyNumberFormat="1" applyFont="1" applyFill="1" applyAlignment="1" applyProtection="1">
      <alignment horizontal="right" vertical="center"/>
    </xf>
    <xf numFmtId="0" fontId="8" fillId="12" borderId="0" xfId="0" applyFont="1" applyFill="1" applyAlignment="1" applyProtection="1">
      <alignment vertical="top"/>
      <protection locked="0"/>
    </xf>
    <xf numFmtId="0" fontId="24" fillId="12" borderId="0" xfId="0" applyFont="1" applyFill="1" applyAlignment="1" applyProtection="1">
      <alignment horizontal="right"/>
      <protection locked="0"/>
    </xf>
    <xf numFmtId="0" fontId="0" fillId="0" borderId="0" xfId="0"/>
    <xf numFmtId="0" fontId="0" fillId="0" borderId="0" xfId="0" applyAlignment="1">
      <alignment horizontal="center"/>
    </xf>
    <xf numFmtId="0" fontId="18" fillId="0" borderId="0" xfId="0" applyFont="1" applyAlignment="1">
      <alignment horizontal="center"/>
    </xf>
    <xf numFmtId="0" fontId="18" fillId="9" borderId="0" xfId="0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2" borderId="0" xfId="0" applyFill="1"/>
    <xf numFmtId="0" fontId="0" fillId="0" borderId="0" xfId="0" applyBorder="1" applyAlignment="1">
      <alignment wrapText="1"/>
    </xf>
    <xf numFmtId="0" fontId="8" fillId="0" borderId="6" xfId="0" applyFont="1" applyBorder="1" applyAlignment="1">
      <alignment horizontal="center"/>
    </xf>
    <xf numFmtId="0" fontId="24" fillId="9" borderId="0" xfId="0" applyFont="1" applyFill="1" applyAlignment="1">
      <alignment horizontal="center"/>
    </xf>
    <xf numFmtId="0" fontId="24" fillId="0" borderId="6" xfId="0" applyFont="1" applyBorder="1" applyAlignment="1">
      <alignment horizontal="center"/>
    </xf>
    <xf numFmtId="0" fontId="24" fillId="0" borderId="0" xfId="0" applyFont="1" applyAlignment="1">
      <alignment horizontal="center"/>
    </xf>
    <xf numFmtId="164" fontId="26" fillId="0" borderId="0" xfId="0" applyNumberFormat="1" applyFont="1" applyFill="1" applyProtection="1"/>
    <xf numFmtId="0" fontId="8" fillId="12" borderId="0" xfId="0" applyFont="1" applyFill="1" applyAlignment="1" applyProtection="1">
      <alignment horizontal="right"/>
      <protection locked="0"/>
    </xf>
    <xf numFmtId="0" fontId="17" fillId="0" borderId="0" xfId="32" applyFill="1"/>
    <xf numFmtId="0" fontId="18" fillId="0" borderId="0" xfId="32" applyFont="1" applyFill="1"/>
    <xf numFmtId="0" fontId="1" fillId="2" borderId="0" xfId="32" applyFont="1" applyAlignment="1">
      <alignment vertical="top"/>
    </xf>
    <xf numFmtId="0" fontId="1" fillId="2" borderId="0" xfId="32" applyFont="1" applyAlignment="1">
      <alignment horizontal="right"/>
    </xf>
  </cellXfs>
  <cellStyles count="97">
    <cellStyle name="Collegamento ipertestuale" xfId="2" builtinId="8" hidden="1"/>
    <cellStyle name="Collegamento ipertestuale" xfId="4" builtinId="8" hidden="1"/>
    <cellStyle name="Collegamento ipertestuale" xfId="6" builtinId="8" hidden="1"/>
    <cellStyle name="Collegamento ipertestuale" xfId="8" builtinId="8" hidden="1"/>
    <cellStyle name="Collegamento ipertestuale" xfId="10" builtinId="8" hidden="1"/>
    <cellStyle name="Collegamento ipertestuale" xfId="12" builtinId="8" hidden="1"/>
    <cellStyle name="Collegamento ipertestuale" xfId="14" builtinId="8" hidden="1"/>
    <cellStyle name="Collegamento ipertestuale" xfId="16" builtinId="8" hidden="1"/>
    <cellStyle name="Collegamento ipertestuale" xfId="18" builtinId="8" hidden="1"/>
    <cellStyle name="Collegamento ipertestuale" xfId="20" builtinId="8" hidden="1"/>
    <cellStyle name="Collegamento ipertestuale" xfId="22" builtinId="8" hidden="1"/>
    <cellStyle name="Collegamento ipertestuale" xfId="24" builtinId="8" hidden="1"/>
    <cellStyle name="Collegamento ipertestuale" xfId="26" builtinId="8" hidden="1"/>
    <cellStyle name="Collegamento ipertestuale" xfId="28" builtinId="8" hidden="1"/>
    <cellStyle name="Collegamento ipertestuale" xfId="30" builtinId="8" hidden="1"/>
    <cellStyle name="Collegamento ipertestuale" xfId="33" builtinId="8" hidden="1"/>
    <cellStyle name="Collegamento ipertestuale" xfId="35" builtinId="8" hidden="1"/>
    <cellStyle name="Collegamento ipertestuale" xfId="37" builtinId="8" hidden="1"/>
    <cellStyle name="Collegamento ipertestuale" xfId="39" builtinId="8" hidden="1"/>
    <cellStyle name="Collegamento ipertestuale" xfId="41" builtinId="8" hidden="1"/>
    <cellStyle name="Collegamento ipertestuale" xfId="43" builtinId="8" hidden="1"/>
    <cellStyle name="Collegamento ipertestuale" xfId="45" builtinId="8" hidden="1"/>
    <cellStyle name="Collegamento ipertestuale" xfId="47" builtinId="8" hidden="1"/>
    <cellStyle name="Collegamento ipertestuale" xfId="49" builtinId="8" hidden="1"/>
    <cellStyle name="Collegamento ipertestuale" xfId="51" builtinId="8" hidden="1"/>
    <cellStyle name="Collegamento ipertestuale" xfId="53" builtinId="8" hidden="1"/>
    <cellStyle name="Collegamento ipertestuale" xfId="55" builtinId="8" hidden="1"/>
    <cellStyle name="Collegamento ipertestuale" xfId="57" builtinId="8" hidden="1"/>
    <cellStyle name="Collegamento ipertestuale" xfId="59" builtinId="8" hidden="1"/>
    <cellStyle name="Collegamento ipertestuale" xfId="61" builtinId="8" hidden="1"/>
    <cellStyle name="Collegamento ipertestuale" xfId="63" builtinId="8" hidden="1"/>
    <cellStyle name="Collegamento ipertestuale" xfId="65" builtinId="8" hidden="1"/>
    <cellStyle name="Collegamento ipertestuale" xfId="67" builtinId="8" hidden="1"/>
    <cellStyle name="Collegamento ipertestuale" xfId="69" builtinId="8" hidden="1"/>
    <cellStyle name="Collegamento ipertestuale" xfId="71" builtinId="8" hidden="1"/>
    <cellStyle name="Collegamento ipertestuale" xfId="73" builtinId="8" hidden="1"/>
    <cellStyle name="Collegamento ipertestuale" xfId="75" builtinId="8" hidden="1"/>
    <cellStyle name="Collegamento ipertestuale" xfId="77" builtinId="8" hidden="1"/>
    <cellStyle name="Collegamento ipertestuale" xfId="79" builtinId="8" hidden="1"/>
    <cellStyle name="Collegamento ipertestuale" xfId="81" builtinId="8" hidden="1"/>
    <cellStyle name="Collegamento ipertestuale" xfId="83" builtinId="8" hidden="1"/>
    <cellStyle name="Collegamento ipertestuale" xfId="85" builtinId="8" hidden="1"/>
    <cellStyle name="Collegamento ipertestuale" xfId="87" builtinId="8" hidden="1"/>
    <cellStyle name="Collegamento ipertestuale" xfId="89" builtinId="8" hidden="1"/>
    <cellStyle name="Collegamento ipertestuale" xfId="91" builtinId="8" hidden="1"/>
    <cellStyle name="Collegamento ipertestuale" xfId="93" builtinId="8" hidden="1"/>
    <cellStyle name="Collegamento ipertestuale visitato" xfId="3" builtinId="9" hidden="1"/>
    <cellStyle name="Collegamento ipertestuale visitato" xfId="5" builtinId="9" hidden="1"/>
    <cellStyle name="Collegamento ipertestuale visitato" xfId="7" builtinId="9" hidden="1"/>
    <cellStyle name="Collegamento ipertestuale visitato" xfId="9" builtinId="9" hidden="1"/>
    <cellStyle name="Collegamento ipertestuale visitato" xfId="11" builtinId="9" hidden="1"/>
    <cellStyle name="Collegamento ipertestuale visitato" xfId="13" builtinId="9" hidden="1"/>
    <cellStyle name="Collegamento ipertestuale visitato" xfId="15" builtinId="9" hidden="1"/>
    <cellStyle name="Collegamento ipertestuale visitato" xfId="17" builtinId="9" hidden="1"/>
    <cellStyle name="Collegamento ipertestuale visitato" xfId="19" builtinId="9" hidden="1"/>
    <cellStyle name="Collegamento ipertestuale visitato" xfId="21" builtinId="9" hidden="1"/>
    <cellStyle name="Collegamento ipertestuale visitato" xfId="23" builtinId="9" hidden="1"/>
    <cellStyle name="Collegamento ipertestuale visitato" xfId="25" builtinId="9" hidden="1"/>
    <cellStyle name="Collegamento ipertestuale visitato" xfId="27" builtinId="9" hidden="1"/>
    <cellStyle name="Collegamento ipertestuale visitato" xfId="29" builtinId="9" hidden="1"/>
    <cellStyle name="Collegamento ipertestuale visitato" xfId="31" builtinId="9" hidden="1"/>
    <cellStyle name="Collegamento ipertestuale visitato" xfId="34" builtinId="9" hidden="1"/>
    <cellStyle name="Collegamento ipertestuale visitato" xfId="36" builtinId="9" hidden="1"/>
    <cellStyle name="Collegamento ipertestuale visitato" xfId="38" builtinId="9" hidden="1"/>
    <cellStyle name="Collegamento ipertestuale visitato" xfId="40" builtinId="9" hidden="1"/>
    <cellStyle name="Collegamento ipertestuale visitato" xfId="42" builtinId="9" hidden="1"/>
    <cellStyle name="Collegamento ipertestuale visitato" xfId="44" builtinId="9" hidden="1"/>
    <cellStyle name="Collegamento ipertestuale visitato" xfId="46" builtinId="9" hidden="1"/>
    <cellStyle name="Collegamento ipertestuale visitato" xfId="48" builtinId="9" hidden="1"/>
    <cellStyle name="Collegamento ipertestuale visitato" xfId="50" builtinId="9" hidden="1"/>
    <cellStyle name="Collegamento ipertestuale visitato" xfId="52" builtinId="9" hidden="1"/>
    <cellStyle name="Collegamento ipertestuale visitato" xfId="54" builtinId="9" hidden="1"/>
    <cellStyle name="Collegamento ipertestuale visitato" xfId="56" builtinId="9" hidden="1"/>
    <cellStyle name="Collegamento ipertestuale visitato" xfId="58" builtinId="9" hidden="1"/>
    <cellStyle name="Collegamento ipertestuale visitato" xfId="60" builtinId="9" hidden="1"/>
    <cellStyle name="Collegamento ipertestuale visitato" xfId="62" builtinId="9" hidden="1"/>
    <cellStyle name="Collegamento ipertestuale visitato" xfId="64" builtinId="9" hidden="1"/>
    <cellStyle name="Collegamento ipertestuale visitato" xfId="66" builtinId="9" hidden="1"/>
    <cellStyle name="Collegamento ipertestuale visitato" xfId="68" builtinId="9" hidden="1"/>
    <cellStyle name="Collegamento ipertestuale visitato" xfId="70" builtinId="9" hidden="1"/>
    <cellStyle name="Collegamento ipertestuale visitato" xfId="72" builtinId="9" hidden="1"/>
    <cellStyle name="Collegamento ipertestuale visitato" xfId="74" builtinId="9" hidden="1"/>
    <cellStyle name="Collegamento ipertestuale visitato" xfId="76" builtinId="9" hidden="1"/>
    <cellStyle name="Collegamento ipertestuale visitato" xfId="78" builtinId="9" hidden="1"/>
    <cellStyle name="Collegamento ipertestuale visitato" xfId="80" builtinId="9" hidden="1"/>
    <cellStyle name="Collegamento ipertestuale visitato" xfId="82" builtinId="9" hidden="1"/>
    <cellStyle name="Collegamento ipertestuale visitato" xfId="84" builtinId="9" hidden="1"/>
    <cellStyle name="Collegamento ipertestuale visitato" xfId="86" builtinId="9" hidden="1"/>
    <cellStyle name="Collegamento ipertestuale visitato" xfId="88" builtinId="9" hidden="1"/>
    <cellStyle name="Collegamento ipertestuale visitato" xfId="90" builtinId="9" hidden="1"/>
    <cellStyle name="Collegamento ipertestuale visitato" xfId="92" builtinId="9" hidden="1"/>
    <cellStyle name="Collegamento ipertestuale visitato" xfId="94" builtinId="9" hidden="1"/>
    <cellStyle name="Normale" xfId="0" builtinId="0"/>
    <cellStyle name="Normale 2" xfId="1"/>
    <cellStyle name="Normale 3" xfId="32"/>
    <cellStyle name="Normale 4" xfId="95"/>
    <cellStyle name="Normale 5" xfId="96"/>
  </cellStyles>
  <dxfs count="8">
    <dxf>
      <fill>
        <patternFill patternType="solid">
          <bgColor rgb="FFFFFF00"/>
        </patternFill>
      </fill>
    </dxf>
    <dxf>
      <fill>
        <patternFill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rgb="FFFFFF00"/>
        </patternFill>
      </fill>
    </dxf>
  </dxfs>
  <tableStyles count="0" defaultTableStyle="TableStyleMedium9" defaultPivotStyle="PivotStyleMedium7"/>
  <colors>
    <mruColors>
      <color rgb="FF0000CC"/>
      <color rgb="FFFFFFFF"/>
      <color rgb="FF000000"/>
      <color rgb="FF00CC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0"/>
    <c:view3D>
      <c:rotX val="15"/>
      <c:rotY val="20"/>
      <c:rAngAx val="1"/>
    </c:view3D>
    <c:floor>
      <c:thickness val="0"/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grafici!$B$3:$E$3</c:f>
              <c:numCache>
                <c:formatCode>"€"\ #,##0.00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0F-4201-BCEE-0E1C2F3E1477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</c:spPr>
          <c:invertIfNegative val="0"/>
          <c:cat>
            <c:strRef>
              <c:f>grafici!$B$2:$E$2</c:f>
              <c:strCache>
                <c:ptCount val="4"/>
                <c:pt idx="0">
                  <c:v>anno 2012</c:v>
                </c:pt>
                <c:pt idx="1">
                  <c:v>anno 2013</c:v>
                </c:pt>
                <c:pt idx="2">
                  <c:v>anno 2014</c:v>
                </c:pt>
                <c:pt idx="3">
                  <c:v>spesa media</c:v>
                </c:pt>
              </c:strCache>
            </c:strRef>
          </c:cat>
          <c:val>
            <c:numRef>
              <c:f>grafici!$B$4:$E$4</c:f>
              <c:numCache>
                <c:formatCode>"€"\ #,##0.00</c:formatCode>
                <c:ptCount val="4"/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F0F-4201-BCEE-0E1C2F3E14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-1763860944"/>
        <c:axId val="-1766370992"/>
        <c:axId val="0"/>
      </c:bar3DChart>
      <c:catAx>
        <c:axId val="-17638609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-1766370992"/>
        <c:crosses val="autoZero"/>
        <c:auto val="1"/>
        <c:lblAlgn val="ctr"/>
        <c:lblOffset val="100"/>
        <c:noMultiLvlLbl val="0"/>
      </c:catAx>
      <c:valAx>
        <c:axId val="-1766370992"/>
        <c:scaling>
          <c:orientation val="minMax"/>
        </c:scaling>
        <c:delete val="0"/>
        <c:axPos val="l"/>
        <c:majorGridlines/>
        <c:numFmt formatCode="&quot;€&quot;\ #,##0.00" sourceLinked="1"/>
        <c:majorTickMark val="out"/>
        <c:minorTickMark val="none"/>
        <c:tickLblPos val="nextTo"/>
        <c:spPr>
          <a:ln>
            <a:prstDash val="solid"/>
          </a:ln>
        </c:spPr>
        <c:crossAx val="-17638609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Tipologia di spesa R&amp;S </a:t>
            </a:r>
          </a:p>
        </c:rich>
      </c:tx>
      <c:layout>
        <c:manualLayout>
          <c:xMode val="edge"/>
          <c:yMode val="edge"/>
          <c:x val="0.37645203076258354"/>
          <c:y val="4.77951657259737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explosion val="5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FD9B-49AE-BDB4-F10012CD711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FD9B-49AE-BDB4-F10012CD7110}"/>
              </c:ext>
            </c:extLst>
          </c:dPt>
          <c:dLbls>
            <c:dLbl>
              <c:idx val="0"/>
              <c:layout>
                <c:manualLayout>
                  <c:x val="-0.27091118876994308"/>
                  <c:y val="9.74919645007022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1000" b="1" i="0" u="none" strike="noStrike" kern="1200" spc="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E91DB2DB-49DB-C545-B410-144F10043A14}" type="CATEGORYNAME">
                      <a:rPr lang="en-US"/>
                      <a:pPr>
                        <a:defRPr/>
                      </a:pPr>
                      <a:t>[NOME CATEGORIA]</a:t>
                    </a:fld>
                    <a:r>
                      <a:rPr lang="en-US" baseline="0"/>
                      <a:t>
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it-IT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95714450726139"/>
                      <c:h val="0.2016346127601609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D9B-49AE-BDB4-F10012CD7110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FD9B-49AE-BDB4-F10012CD7110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grafici!$J$25:$J$26</c:f>
              <c:strCache>
                <c:ptCount val="2"/>
                <c:pt idx="0">
                  <c:v>COMPETENZE TECNICHE E PRIVATIVE INDUSTRIALI</c:v>
                </c:pt>
                <c:pt idx="1">
                  <c:v>CONSULENZE EXTRAMUROS</c:v>
                </c:pt>
              </c:strCache>
            </c:strRef>
          </c:cat>
          <c:val>
            <c:numRef>
              <c:f>grafici!$K$25:$K$26</c:f>
              <c:numCache>
                <c:formatCode>#,##0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9B-49AE-BDB4-F10012CD7110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708660</xdr:colOff>
          <xdr:row>16</xdr:row>
          <xdr:rowOff>167640</xdr:rowOff>
        </xdr:from>
        <xdr:to>
          <xdr:col>5</xdr:col>
          <xdr:colOff>2948940</xdr:colOff>
          <xdr:row>19</xdr:row>
          <xdr:rowOff>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extramuros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244834</xdr:colOff>
      <xdr:row>29</xdr:row>
      <xdr:rowOff>79360</xdr:rowOff>
    </xdr:from>
    <xdr:to>
      <xdr:col>28</xdr:col>
      <xdr:colOff>54334</xdr:colOff>
      <xdr:row>29</xdr:row>
      <xdr:rowOff>330820</xdr:rowOff>
    </xdr:to>
    <xdr:sp macro="" textlink="">
      <xdr:nvSpPr>
        <xdr:cNvPr id="2" name="Stella a 6 punte 1"/>
        <xdr:cNvSpPr/>
      </xdr:nvSpPr>
      <xdr:spPr>
        <a:xfrm>
          <a:off x="16531756" y="4253795"/>
          <a:ext cx="260074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28</xdr:col>
      <xdr:colOff>143786</xdr:colOff>
      <xdr:row>29</xdr:row>
      <xdr:rowOff>85987</xdr:rowOff>
    </xdr:from>
    <xdr:to>
      <xdr:col>28</xdr:col>
      <xdr:colOff>387626</xdr:colOff>
      <xdr:row>29</xdr:row>
      <xdr:rowOff>337447</xdr:rowOff>
    </xdr:to>
    <xdr:sp macro="" textlink="">
      <xdr:nvSpPr>
        <xdr:cNvPr id="3" name="Stella a 6 punte 2"/>
        <xdr:cNvSpPr/>
      </xdr:nvSpPr>
      <xdr:spPr>
        <a:xfrm>
          <a:off x="16881282" y="4260422"/>
          <a:ext cx="243840" cy="25146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49696</xdr:colOff>
          <xdr:row>8</xdr:row>
          <xdr:rowOff>69575</xdr:rowOff>
        </xdr:from>
        <xdr:to>
          <xdr:col>25</xdr:col>
          <xdr:colOff>2294283</xdr:colOff>
          <xdr:row>11</xdr:row>
          <xdr:rowOff>70568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dipendenti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</xdr:colOff>
          <xdr:row>6</xdr:row>
          <xdr:rowOff>152400</xdr:rowOff>
        </xdr:from>
        <xdr:to>
          <xdr:col>17</xdr:col>
          <xdr:colOff>327660</xdr:colOff>
          <xdr:row>8</xdr:row>
          <xdr:rowOff>167640</xdr:rowOff>
        </xdr:to>
        <xdr:sp macro="" textlink="">
          <xdr:nvSpPr>
            <xdr:cNvPr id="5137" name="Button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costiACBD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106680</xdr:colOff>
          <xdr:row>6</xdr:row>
          <xdr:rowOff>15240</xdr:rowOff>
        </xdr:from>
        <xdr:to>
          <xdr:col>10</xdr:col>
          <xdr:colOff>304800</xdr:colOff>
          <xdr:row>8</xdr:row>
          <xdr:rowOff>7620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creditoSpettante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48260</xdr:colOff>
      <xdr:row>3</xdr:row>
      <xdr:rowOff>20320</xdr:rowOff>
    </xdr:from>
    <xdr:to>
      <xdr:col>2</xdr:col>
      <xdr:colOff>292100</xdr:colOff>
      <xdr:row>3</xdr:row>
      <xdr:rowOff>294640</xdr:rowOff>
    </xdr:to>
    <xdr:sp macro="" textlink="">
      <xdr:nvSpPr>
        <xdr:cNvPr id="9" name="Stella a 6 punte 8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4</xdr:row>
      <xdr:rowOff>20320</xdr:rowOff>
    </xdr:from>
    <xdr:to>
      <xdr:col>2</xdr:col>
      <xdr:colOff>292100</xdr:colOff>
      <xdr:row>4</xdr:row>
      <xdr:rowOff>294640</xdr:rowOff>
    </xdr:to>
    <xdr:sp macro="" textlink="">
      <xdr:nvSpPr>
        <xdr:cNvPr id="20" name="Stella a 6 punte 19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5</xdr:row>
      <xdr:rowOff>20320</xdr:rowOff>
    </xdr:from>
    <xdr:to>
      <xdr:col>2</xdr:col>
      <xdr:colOff>292100</xdr:colOff>
      <xdr:row>5</xdr:row>
      <xdr:rowOff>294640</xdr:rowOff>
    </xdr:to>
    <xdr:sp macro="" textlink="">
      <xdr:nvSpPr>
        <xdr:cNvPr id="21" name="Stella a 6 punte 20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48260</xdr:colOff>
      <xdr:row>10</xdr:row>
      <xdr:rowOff>20320</xdr:rowOff>
    </xdr:from>
    <xdr:to>
      <xdr:col>2</xdr:col>
      <xdr:colOff>292100</xdr:colOff>
      <xdr:row>10</xdr:row>
      <xdr:rowOff>294640</xdr:rowOff>
    </xdr:to>
    <xdr:sp macro="" textlink="">
      <xdr:nvSpPr>
        <xdr:cNvPr id="24" name="Stella a 6 punte 23"/>
        <xdr:cNvSpPr/>
      </xdr:nvSpPr>
      <xdr:spPr>
        <a:xfrm>
          <a:off x="1389380" y="21336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58420</xdr:colOff>
      <xdr:row>6</xdr:row>
      <xdr:rowOff>223520</xdr:rowOff>
    </xdr:from>
    <xdr:to>
      <xdr:col>2</xdr:col>
      <xdr:colOff>302260</xdr:colOff>
      <xdr:row>7</xdr:row>
      <xdr:rowOff>152400</xdr:rowOff>
    </xdr:to>
    <xdr:sp macro="" textlink="">
      <xdr:nvSpPr>
        <xdr:cNvPr id="25" name="Stella a 6 punte 24"/>
        <xdr:cNvSpPr/>
      </xdr:nvSpPr>
      <xdr:spPr>
        <a:xfrm>
          <a:off x="1399540" y="160528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2</xdr:col>
      <xdr:colOff>38100</xdr:colOff>
      <xdr:row>7</xdr:row>
      <xdr:rowOff>223520</xdr:rowOff>
    </xdr:from>
    <xdr:to>
      <xdr:col>2</xdr:col>
      <xdr:colOff>281940</xdr:colOff>
      <xdr:row>8</xdr:row>
      <xdr:rowOff>152400</xdr:rowOff>
    </xdr:to>
    <xdr:sp macro="" textlink="">
      <xdr:nvSpPr>
        <xdr:cNvPr id="26" name="Stella a 6 punte 25"/>
        <xdr:cNvSpPr/>
      </xdr:nvSpPr>
      <xdr:spPr>
        <a:xfrm>
          <a:off x="1379220" y="1950720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47</xdr:col>
      <xdr:colOff>0</xdr:colOff>
      <xdr:row>4</xdr:row>
      <xdr:rowOff>0</xdr:rowOff>
    </xdr:from>
    <xdr:to>
      <xdr:col>59</xdr:col>
      <xdr:colOff>0</xdr:colOff>
      <xdr:row>5</xdr:row>
      <xdr:rowOff>8467</xdr:rowOff>
    </xdr:to>
    <xdr:sp macro="" textlink="">
      <xdr:nvSpPr>
        <xdr:cNvPr id="2" name="CasellaDiTesto 1"/>
        <xdr:cNvSpPr txBox="1"/>
      </xdr:nvSpPr>
      <xdr:spPr>
        <a:xfrm>
          <a:off x="80433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2016</a:t>
          </a:r>
        </a:p>
      </xdr:txBody>
    </xdr:sp>
    <xdr:clientData/>
  </xdr:twoCellAnchor>
  <xdr:twoCellAnchor>
    <xdr:from>
      <xdr:col>59</xdr:col>
      <xdr:colOff>0</xdr:colOff>
      <xdr:row>4</xdr:row>
      <xdr:rowOff>0</xdr:rowOff>
    </xdr:from>
    <xdr:to>
      <xdr:col>71</xdr:col>
      <xdr:colOff>0</xdr:colOff>
      <xdr:row>5</xdr:row>
      <xdr:rowOff>8467</xdr:rowOff>
    </xdr:to>
    <xdr:sp macro="" textlink="">
      <xdr:nvSpPr>
        <xdr:cNvPr id="10" name="CasellaDiTesto 9"/>
        <xdr:cNvSpPr txBox="1"/>
      </xdr:nvSpPr>
      <xdr:spPr>
        <a:xfrm>
          <a:off x="10786533" y="694267"/>
          <a:ext cx="2743200" cy="3556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>
              <a:solidFill>
                <a:schemeClr val="dk1"/>
              </a:solidFill>
              <a:latin typeface="+mn-lt"/>
              <a:ea typeface="+mn-ea"/>
              <a:cs typeface="+mn-cs"/>
            </a:rPr>
            <a:t>2017</a:t>
          </a:r>
        </a:p>
      </xdr:txBody>
    </xdr:sp>
    <xdr:clientData/>
  </xdr:twoCellAnchor>
  <xdr:twoCellAnchor>
    <xdr:from>
      <xdr:col>47</xdr:col>
      <xdr:colOff>8466</xdr:colOff>
      <xdr:row>6</xdr:row>
      <xdr:rowOff>42334</xdr:rowOff>
    </xdr:from>
    <xdr:to>
      <xdr:col>59</xdr:col>
      <xdr:colOff>8466</xdr:colOff>
      <xdr:row>6</xdr:row>
      <xdr:rowOff>313267</xdr:rowOff>
    </xdr:to>
    <xdr:sp macro="" textlink="">
      <xdr:nvSpPr>
        <xdr:cNvPr id="11" name="CasellaDiTesto 10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6</xdr:row>
      <xdr:rowOff>42334</xdr:rowOff>
    </xdr:from>
    <xdr:to>
      <xdr:col>71</xdr:col>
      <xdr:colOff>8467</xdr:colOff>
      <xdr:row>6</xdr:row>
      <xdr:rowOff>313267</xdr:rowOff>
    </xdr:to>
    <xdr:sp macro="" textlink="">
      <xdr:nvSpPr>
        <xdr:cNvPr id="13" name="CasellaDiTesto 12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7</xdr:row>
      <xdr:rowOff>42334</xdr:rowOff>
    </xdr:from>
    <xdr:to>
      <xdr:col>59</xdr:col>
      <xdr:colOff>8466</xdr:colOff>
      <xdr:row>7</xdr:row>
      <xdr:rowOff>313267</xdr:rowOff>
    </xdr:to>
    <xdr:sp macro="" textlink="">
      <xdr:nvSpPr>
        <xdr:cNvPr id="14" name="CasellaDiTesto 13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7</xdr:row>
      <xdr:rowOff>42334</xdr:rowOff>
    </xdr:from>
    <xdr:to>
      <xdr:col>71</xdr:col>
      <xdr:colOff>8467</xdr:colOff>
      <xdr:row>7</xdr:row>
      <xdr:rowOff>313267</xdr:rowOff>
    </xdr:to>
    <xdr:sp macro="" textlink="">
      <xdr:nvSpPr>
        <xdr:cNvPr id="15" name="CasellaDiTesto 14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8</xdr:row>
      <xdr:rowOff>42334</xdr:rowOff>
    </xdr:from>
    <xdr:to>
      <xdr:col>59</xdr:col>
      <xdr:colOff>8466</xdr:colOff>
      <xdr:row>8</xdr:row>
      <xdr:rowOff>313267</xdr:rowOff>
    </xdr:to>
    <xdr:sp macro="" textlink="">
      <xdr:nvSpPr>
        <xdr:cNvPr id="16" name="CasellaDiTesto 15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59</xdr:col>
      <xdr:colOff>8467</xdr:colOff>
      <xdr:row>8</xdr:row>
      <xdr:rowOff>42334</xdr:rowOff>
    </xdr:from>
    <xdr:to>
      <xdr:col>71</xdr:col>
      <xdr:colOff>8467</xdr:colOff>
      <xdr:row>8</xdr:row>
      <xdr:rowOff>313267</xdr:rowOff>
    </xdr:to>
    <xdr:sp macro="" textlink="">
      <xdr:nvSpPr>
        <xdr:cNvPr id="17" name="CasellaDiTesto 16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rgbClr val="26262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8466</xdr:colOff>
      <xdr:row>9</xdr:row>
      <xdr:rowOff>42334</xdr:rowOff>
    </xdr:from>
    <xdr:to>
      <xdr:col>59</xdr:col>
      <xdr:colOff>8466</xdr:colOff>
      <xdr:row>9</xdr:row>
      <xdr:rowOff>313267</xdr:rowOff>
    </xdr:to>
    <xdr:sp macro="" textlink="">
      <xdr:nvSpPr>
        <xdr:cNvPr id="18" name="CasellaDiTesto 17"/>
        <xdr:cNvSpPr txBox="1"/>
      </xdr:nvSpPr>
      <xdr:spPr>
        <a:xfrm>
          <a:off x="8051799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59</xdr:col>
      <xdr:colOff>8467</xdr:colOff>
      <xdr:row>9</xdr:row>
      <xdr:rowOff>42334</xdr:rowOff>
    </xdr:from>
    <xdr:to>
      <xdr:col>71</xdr:col>
      <xdr:colOff>8467</xdr:colOff>
      <xdr:row>9</xdr:row>
      <xdr:rowOff>313267</xdr:rowOff>
    </xdr:to>
    <xdr:sp macro="" textlink="">
      <xdr:nvSpPr>
        <xdr:cNvPr id="19" name="CasellaDiTesto 18"/>
        <xdr:cNvSpPr txBox="1"/>
      </xdr:nvSpPr>
      <xdr:spPr>
        <a:xfrm>
          <a:off x="10795000" y="1430867"/>
          <a:ext cx="2743200" cy="270933"/>
        </a:xfrm>
        <a:prstGeom prst="rect">
          <a:avLst/>
        </a:prstGeom>
        <a:solidFill>
          <a:srgbClr val="A6A6A6"/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46</xdr:col>
      <xdr:colOff>677333</xdr:colOff>
      <xdr:row>18</xdr:row>
      <xdr:rowOff>25399</xdr:rowOff>
    </xdr:from>
    <xdr:to>
      <xdr:col>70</xdr:col>
      <xdr:colOff>220132</xdr:colOff>
      <xdr:row>18</xdr:row>
      <xdr:rowOff>313267</xdr:rowOff>
    </xdr:to>
    <xdr:sp macro="" textlink="">
      <xdr:nvSpPr>
        <xdr:cNvPr id="22" name="CasellaDiTesto 21"/>
        <xdr:cNvSpPr txBox="1"/>
      </xdr:nvSpPr>
      <xdr:spPr>
        <a:xfrm>
          <a:off x="15121466" y="5232399"/>
          <a:ext cx="5477933" cy="28786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2017</a:t>
          </a:r>
        </a:p>
      </xdr:txBody>
    </xdr:sp>
    <xdr:clientData/>
  </xdr:twoCellAnchor>
  <xdr:twoCellAnchor>
    <xdr:from>
      <xdr:col>46</xdr:col>
      <xdr:colOff>677333</xdr:colOff>
      <xdr:row>20</xdr:row>
      <xdr:rowOff>42335</xdr:rowOff>
    </xdr:from>
    <xdr:to>
      <xdr:col>70</xdr:col>
      <xdr:colOff>220132</xdr:colOff>
      <xdr:row>20</xdr:row>
      <xdr:rowOff>313268</xdr:rowOff>
    </xdr:to>
    <xdr:sp macro="" textlink="">
      <xdr:nvSpPr>
        <xdr:cNvPr id="23" name="CasellaDiTesto 22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21</xdr:row>
      <xdr:rowOff>42335</xdr:rowOff>
    </xdr:from>
    <xdr:to>
      <xdr:col>70</xdr:col>
      <xdr:colOff>220132</xdr:colOff>
      <xdr:row>21</xdr:row>
      <xdr:rowOff>313268</xdr:rowOff>
    </xdr:to>
    <xdr:sp macro="" textlink="">
      <xdr:nvSpPr>
        <xdr:cNvPr id="27" name="CasellaDiTesto 26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23</xdr:row>
      <xdr:rowOff>42335</xdr:rowOff>
    </xdr:from>
    <xdr:to>
      <xdr:col>70</xdr:col>
      <xdr:colOff>220132</xdr:colOff>
      <xdr:row>23</xdr:row>
      <xdr:rowOff>313268</xdr:rowOff>
    </xdr:to>
    <xdr:sp macro="" textlink="">
      <xdr:nvSpPr>
        <xdr:cNvPr id="28" name="CasellaDiTesto 27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46</xdr:col>
      <xdr:colOff>677333</xdr:colOff>
      <xdr:row>24</xdr:row>
      <xdr:rowOff>42335</xdr:rowOff>
    </xdr:from>
    <xdr:to>
      <xdr:col>70</xdr:col>
      <xdr:colOff>220132</xdr:colOff>
      <xdr:row>24</xdr:row>
      <xdr:rowOff>313268</xdr:rowOff>
    </xdr:to>
    <xdr:sp macro="" textlink="">
      <xdr:nvSpPr>
        <xdr:cNvPr id="29" name="CasellaDiTesto 28"/>
        <xdr:cNvSpPr txBox="1"/>
      </xdr:nvSpPr>
      <xdr:spPr>
        <a:xfrm>
          <a:off x="15121466" y="5943602"/>
          <a:ext cx="5477933" cy="270933"/>
        </a:xfrm>
        <a:prstGeom prst="rect">
          <a:avLst/>
        </a:prstGeom>
        <a:solidFill>
          <a:schemeClr val="bg1">
            <a:lumMod val="85000"/>
          </a:schemeClr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47</xdr:col>
      <xdr:colOff>8465</xdr:colOff>
      <xdr:row>23</xdr:row>
      <xdr:rowOff>33866</xdr:rowOff>
    </xdr:from>
    <xdr:to>
      <xdr:col>70</xdr:col>
      <xdr:colOff>220132</xdr:colOff>
      <xdr:row>23</xdr:row>
      <xdr:rowOff>304799</xdr:rowOff>
    </xdr:to>
    <xdr:sp macro="" textlink="">
      <xdr:nvSpPr>
        <xdr:cNvPr id="30" name="CasellaDiTesto 29"/>
        <xdr:cNvSpPr txBox="1"/>
      </xdr:nvSpPr>
      <xdr:spPr>
        <a:xfrm>
          <a:off x="15129932" y="6629399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47</xdr:col>
      <xdr:colOff>8467</xdr:colOff>
      <xdr:row>24</xdr:row>
      <xdr:rowOff>42333</xdr:rowOff>
    </xdr:from>
    <xdr:to>
      <xdr:col>70</xdr:col>
      <xdr:colOff>220134</xdr:colOff>
      <xdr:row>24</xdr:row>
      <xdr:rowOff>313266</xdr:rowOff>
    </xdr:to>
    <xdr:sp macro="" textlink="">
      <xdr:nvSpPr>
        <xdr:cNvPr id="32" name="CasellaDiTesto 31"/>
        <xdr:cNvSpPr txBox="1"/>
      </xdr:nvSpPr>
      <xdr:spPr>
        <a:xfrm>
          <a:off x="15129934" y="6985000"/>
          <a:ext cx="5469467" cy="270933"/>
        </a:xfrm>
        <a:prstGeom prst="rect">
          <a:avLst/>
        </a:prstGeom>
        <a:solidFill>
          <a:schemeClr val="bg1">
            <a:lumMod val="65000"/>
          </a:schemeClr>
        </a:solidFill>
        <a:ln w="28575" cmpd="sng">
          <a:solidFill>
            <a:schemeClr val="tx1">
              <a:lumMod val="85000"/>
              <a:lumOff val="1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endParaRPr lang="it-IT" sz="28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9</xdr:col>
      <xdr:colOff>110066</xdr:colOff>
      <xdr:row>8</xdr:row>
      <xdr:rowOff>25400</xdr:rowOff>
    </xdr:from>
    <xdr:to>
      <xdr:col>9</xdr:col>
      <xdr:colOff>353906</xdr:colOff>
      <xdr:row>8</xdr:row>
      <xdr:rowOff>299720</xdr:rowOff>
    </xdr:to>
    <xdr:sp macro="" textlink="">
      <xdr:nvSpPr>
        <xdr:cNvPr id="40" name="Stella a 6 punte 39"/>
        <xdr:cNvSpPr/>
      </xdr:nvSpPr>
      <xdr:spPr>
        <a:xfrm>
          <a:off x="3420194" y="2415032"/>
          <a:ext cx="243840" cy="274320"/>
        </a:xfrm>
        <a:prstGeom prst="star6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17</xdr:col>
      <xdr:colOff>6350</xdr:colOff>
      <xdr:row>16</xdr:row>
      <xdr:rowOff>133350</xdr:rowOff>
    </xdr:from>
    <xdr:to>
      <xdr:col>28</xdr:col>
      <xdr:colOff>0</xdr:colOff>
      <xdr:row>16</xdr:row>
      <xdr:rowOff>330200</xdr:rowOff>
    </xdr:to>
    <xdr:sp macro="" textlink="">
      <xdr:nvSpPr>
        <xdr:cNvPr id="3" name="CasellaDiTesto 2"/>
        <xdr:cNvSpPr txBox="1"/>
      </xdr:nvSpPr>
      <xdr:spPr>
        <a:xfrm>
          <a:off x="1352550" y="6648450"/>
          <a:ext cx="5099050" cy="1968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it-IT" sz="1000"/>
            <a:t>Progetto</a:t>
          </a:r>
          <a:r>
            <a:rPr lang="it-IT" sz="1000" baseline="0"/>
            <a:t> complessivo                                                                                       Attività      TRL         OSL</a:t>
          </a:r>
        </a:p>
        <a:p>
          <a:pPr algn="l"/>
          <a:endParaRPr lang="it-IT" sz="1000"/>
        </a:p>
      </xdr:txBody>
    </xdr:sp>
    <xdr:clientData/>
  </xdr:twoCellAnchor>
  <xdr:twoCellAnchor>
    <xdr:from>
      <xdr:col>17</xdr:col>
      <xdr:colOff>0</xdr:colOff>
      <xdr:row>17</xdr:row>
      <xdr:rowOff>6350</xdr:rowOff>
    </xdr:from>
    <xdr:to>
      <xdr:col>25</xdr:col>
      <xdr:colOff>0</xdr:colOff>
      <xdr:row>18</xdr:row>
      <xdr:rowOff>203200</xdr:rowOff>
    </xdr:to>
    <xdr:sp macro="" textlink="">
      <xdr:nvSpPr>
        <xdr:cNvPr id="42" name="CasellaDiTesto 41"/>
        <xdr:cNvSpPr txBox="1"/>
      </xdr:nvSpPr>
      <xdr:spPr>
        <a:xfrm>
          <a:off x="1346200" y="6864350"/>
          <a:ext cx="3619500" cy="539750"/>
        </a:xfrm>
        <a:prstGeom prst="rect">
          <a:avLst/>
        </a:prstGeom>
        <a:solidFill>
          <a:schemeClr val="bg1">
            <a:lumMod val="8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Ricerca pre-industriale e sviluppo</a:t>
          </a:r>
          <a:r>
            <a:rPr lang="it-IT" sz="1000" baseline="0"/>
            <a:t> applicativo sperimentale di nuovi processi di lavorazione delle tomaie</a:t>
          </a:r>
        </a:p>
        <a:p>
          <a:endParaRPr lang="it-IT" sz="1000"/>
        </a:p>
      </xdr:txBody>
    </xdr:sp>
    <xdr:clientData/>
  </xdr:twoCellAnchor>
  <xdr:twoCellAnchor>
    <xdr:from>
      <xdr:col>25</xdr:col>
      <xdr:colOff>19050</xdr:colOff>
      <xdr:row>17</xdr:row>
      <xdr:rowOff>6350</xdr:rowOff>
    </xdr:from>
    <xdr:to>
      <xdr:col>25</xdr:col>
      <xdr:colOff>488950</xdr:colOff>
      <xdr:row>18</xdr:row>
      <xdr:rowOff>209550</xdr:rowOff>
    </xdr:to>
    <xdr:sp macro="" textlink="">
      <xdr:nvSpPr>
        <xdr:cNvPr id="43" name="CasellaDiTesto 42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SS</a:t>
          </a:r>
        </a:p>
      </xdr:txBody>
    </xdr:sp>
    <xdr:clientData/>
  </xdr:twoCellAnchor>
  <xdr:twoCellAnchor>
    <xdr:from>
      <xdr:col>26</xdr:col>
      <xdr:colOff>19050</xdr:colOff>
      <xdr:row>17</xdr:row>
      <xdr:rowOff>6350</xdr:rowOff>
    </xdr:from>
    <xdr:to>
      <xdr:col>26</xdr:col>
      <xdr:colOff>488950</xdr:colOff>
      <xdr:row>18</xdr:row>
      <xdr:rowOff>209550</xdr:rowOff>
    </xdr:to>
    <xdr:sp macro="" textlink="">
      <xdr:nvSpPr>
        <xdr:cNvPr id="47" name="CasellaDiTesto 46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1000">
              <a:solidFill>
                <a:schemeClr val="dk1"/>
              </a:solidFill>
              <a:latin typeface="+mn-lt"/>
              <a:ea typeface="+mn-ea"/>
              <a:cs typeface="+mn-cs"/>
            </a:rPr>
            <a:t>4</a:t>
          </a:r>
        </a:p>
      </xdr:txBody>
    </xdr:sp>
    <xdr:clientData/>
  </xdr:twoCellAnchor>
  <xdr:twoCellAnchor>
    <xdr:from>
      <xdr:col>27</xdr:col>
      <xdr:colOff>19050</xdr:colOff>
      <xdr:row>17</xdr:row>
      <xdr:rowOff>6350</xdr:rowOff>
    </xdr:from>
    <xdr:to>
      <xdr:col>27</xdr:col>
      <xdr:colOff>488950</xdr:colOff>
      <xdr:row>18</xdr:row>
      <xdr:rowOff>209550</xdr:rowOff>
    </xdr:to>
    <xdr:sp macro="" textlink="">
      <xdr:nvSpPr>
        <xdr:cNvPr id="48" name="CasellaDiTesto 47"/>
        <xdr:cNvSpPr txBox="1"/>
      </xdr:nvSpPr>
      <xdr:spPr>
        <a:xfrm>
          <a:off x="4984750" y="6864350"/>
          <a:ext cx="469900" cy="5461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1000"/>
            <a:t>5</a:t>
          </a:r>
        </a:p>
      </xdr:txBody>
    </xdr:sp>
    <xdr:clientData/>
  </xdr:twoCellAnchor>
  <xdr:twoCellAnchor>
    <xdr:from>
      <xdr:col>17</xdr:col>
      <xdr:colOff>19050</xdr:colOff>
      <xdr:row>18</xdr:row>
      <xdr:rowOff>215900</xdr:rowOff>
    </xdr:from>
    <xdr:to>
      <xdr:col>22</xdr:col>
      <xdr:colOff>482600</xdr:colOff>
      <xdr:row>19</xdr:row>
      <xdr:rowOff>330200</xdr:rowOff>
    </xdr:to>
    <xdr:sp macro="" textlink="">
      <xdr:nvSpPr>
        <xdr:cNvPr id="49" name="CasellaDiTesto 48"/>
        <xdr:cNvSpPr txBox="1"/>
      </xdr:nvSpPr>
      <xdr:spPr>
        <a:xfrm>
          <a:off x="1365250" y="7416800"/>
          <a:ext cx="25971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>
              <a:solidFill>
                <a:schemeClr val="dk1"/>
              </a:solidFill>
              <a:latin typeface="+mn-lt"/>
              <a:ea typeface="+mn-ea"/>
              <a:cs typeface="+mn-cs"/>
            </a:rPr>
            <a:t>Ante</a:t>
          </a:r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R&amp;S</a:t>
          </a:r>
        </a:p>
      </xdr:txBody>
    </xdr:sp>
    <xdr:clientData/>
  </xdr:twoCellAnchor>
  <xdr:twoCellAnchor>
    <xdr:from>
      <xdr:col>23</xdr:col>
      <xdr:colOff>19050</xdr:colOff>
      <xdr:row>18</xdr:row>
      <xdr:rowOff>215900</xdr:rowOff>
    </xdr:from>
    <xdr:to>
      <xdr:col>27</xdr:col>
      <xdr:colOff>482600</xdr:colOff>
      <xdr:row>19</xdr:row>
      <xdr:rowOff>330200</xdr:rowOff>
    </xdr:to>
    <xdr:sp macro="" textlink="">
      <xdr:nvSpPr>
        <xdr:cNvPr id="51" name="CasellaDiTesto 50"/>
        <xdr:cNvSpPr txBox="1"/>
      </xdr:nvSpPr>
      <xdr:spPr>
        <a:xfrm>
          <a:off x="3994150" y="7416800"/>
          <a:ext cx="2444750" cy="457200"/>
        </a:xfrm>
        <a:prstGeom prst="rect">
          <a:avLst/>
        </a:prstGeom>
        <a:solidFill>
          <a:schemeClr val="bg1">
            <a:lumMod val="6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it-IT" sz="28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POST R&amp;S</a:t>
          </a:r>
        </a:p>
      </xdr:txBody>
    </xdr:sp>
    <xdr:clientData/>
  </xdr:twoCellAnchor>
  <xdr:twoCellAnchor>
    <xdr:from>
      <xdr:col>17</xdr:col>
      <xdr:colOff>19050</xdr:colOff>
      <xdr:row>20</xdr:row>
      <xdr:rowOff>0</xdr:rowOff>
    </xdr:from>
    <xdr:to>
      <xdr:col>22</xdr:col>
      <xdr:colOff>488950</xdr:colOff>
      <xdr:row>21</xdr:row>
      <xdr:rowOff>196850</xdr:rowOff>
    </xdr:to>
    <xdr:sp macro="" textlink="">
      <xdr:nvSpPr>
        <xdr:cNvPr id="52" name="CasellaDiTesto 51"/>
        <xdr:cNvSpPr txBox="1"/>
      </xdr:nvSpPr>
      <xdr:spPr>
        <a:xfrm>
          <a:off x="1365250" y="7886700"/>
          <a:ext cx="2603500" cy="539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 di lavorazione tradizionale</a:t>
          </a:r>
        </a:p>
      </xdr:txBody>
    </xdr:sp>
    <xdr:clientData/>
  </xdr:twoCellAnchor>
  <xdr:twoCellAnchor>
    <xdr:from>
      <xdr:col>23</xdr:col>
      <xdr:colOff>19050</xdr:colOff>
      <xdr:row>20</xdr:row>
      <xdr:rowOff>19050</xdr:rowOff>
    </xdr:from>
    <xdr:to>
      <xdr:col>27</xdr:col>
      <xdr:colOff>438150</xdr:colOff>
      <xdr:row>21</xdr:row>
      <xdr:rowOff>316992</xdr:rowOff>
    </xdr:to>
    <xdr:sp macro="" textlink="">
      <xdr:nvSpPr>
        <xdr:cNvPr id="53" name="CasellaDiTesto 52"/>
        <xdr:cNvSpPr txBox="1"/>
      </xdr:nvSpPr>
      <xdr:spPr>
        <a:xfrm>
          <a:off x="2884170" y="8212074"/>
          <a:ext cx="2199132" cy="639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it-IT" sz="1000"/>
            <a:t>Processo</a:t>
          </a:r>
          <a:r>
            <a:rPr lang="it-IT" sz="1000" baseline="0"/>
            <a:t> di lavorazione innovativo per prodotti esenti da imperfezioni estetiche</a:t>
          </a:r>
          <a:endParaRPr lang="it-IT" sz="10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4992075</xdr:colOff>
      <xdr:row>55</xdr:row>
      <xdr:rowOff>50801</xdr:rowOff>
    </xdr:from>
    <xdr:to>
      <xdr:col>8</xdr:col>
      <xdr:colOff>50800</xdr:colOff>
      <xdr:row>56</xdr:row>
      <xdr:rowOff>186109</xdr:rowOff>
    </xdr:to>
    <xdr:sp macro="" textlink="">
      <xdr:nvSpPr>
        <xdr:cNvPr id="2" name="CasellaDiTesto 1"/>
        <xdr:cNvSpPr txBox="1"/>
      </xdr:nvSpPr>
      <xdr:spPr>
        <a:xfrm>
          <a:off x="3056595" y="18247361"/>
          <a:ext cx="2396785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2012</a:t>
          </a:r>
        </a:p>
      </xdr:txBody>
    </xdr:sp>
    <xdr:clientData/>
  </xdr:twoCellAnchor>
  <xdr:twoCellAnchor>
    <xdr:from>
      <xdr:col>8</xdr:col>
      <xdr:colOff>72942</xdr:colOff>
      <xdr:row>55</xdr:row>
      <xdr:rowOff>50801</xdr:rowOff>
    </xdr:from>
    <xdr:to>
      <xdr:col>9</xdr:col>
      <xdr:colOff>1439334</xdr:colOff>
      <xdr:row>56</xdr:row>
      <xdr:rowOff>186109</xdr:rowOff>
    </xdr:to>
    <xdr:sp macro="" textlink="">
      <xdr:nvSpPr>
        <xdr:cNvPr id="3" name="CasellaDiTesto 2"/>
        <xdr:cNvSpPr txBox="1"/>
      </xdr:nvSpPr>
      <xdr:spPr>
        <a:xfrm>
          <a:off x="5475522" y="18247361"/>
          <a:ext cx="2539872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2013</a:t>
          </a:r>
        </a:p>
      </xdr:txBody>
    </xdr:sp>
    <xdr:clientData/>
  </xdr:twoCellAnchor>
  <xdr:twoCellAnchor>
    <xdr:from>
      <xdr:col>9</xdr:col>
      <xdr:colOff>1461477</xdr:colOff>
      <xdr:row>55</xdr:row>
      <xdr:rowOff>50801</xdr:rowOff>
    </xdr:from>
    <xdr:to>
      <xdr:col>12</xdr:col>
      <xdr:colOff>8468</xdr:colOff>
      <xdr:row>56</xdr:row>
      <xdr:rowOff>186109</xdr:rowOff>
    </xdr:to>
    <xdr:sp macro="" textlink="">
      <xdr:nvSpPr>
        <xdr:cNvPr id="4" name="CasellaDiTesto 3"/>
        <xdr:cNvSpPr txBox="1"/>
      </xdr:nvSpPr>
      <xdr:spPr>
        <a:xfrm>
          <a:off x="8037537" y="18247361"/>
          <a:ext cx="2257931" cy="363908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it-IT" sz="2800"/>
            <a:t>2014</a:t>
          </a:r>
        </a:p>
      </xdr:txBody>
    </xdr:sp>
    <xdr:clientData/>
  </xdr:twoCellAnchor>
  <xdr:twoCellAnchor>
    <xdr:from>
      <xdr:col>6</xdr:col>
      <xdr:colOff>5209</xdr:colOff>
      <xdr:row>58</xdr:row>
      <xdr:rowOff>33868</xdr:rowOff>
    </xdr:from>
    <xdr:to>
      <xdr:col>8</xdr:col>
      <xdr:colOff>59267</xdr:colOff>
      <xdr:row>59</xdr:row>
      <xdr:rowOff>21268</xdr:rowOff>
    </xdr:to>
    <xdr:sp macro="" textlink="">
      <xdr:nvSpPr>
        <xdr:cNvPr id="5" name="CasellaDiTesto 4"/>
        <xdr:cNvSpPr txBox="1"/>
      </xdr:nvSpPr>
      <xdr:spPr>
        <a:xfrm>
          <a:off x="3060829" y="18916228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59</xdr:row>
      <xdr:rowOff>33866</xdr:rowOff>
    </xdr:from>
    <xdr:to>
      <xdr:col>8</xdr:col>
      <xdr:colOff>59267</xdr:colOff>
      <xdr:row>60</xdr:row>
      <xdr:rowOff>21266</xdr:rowOff>
    </xdr:to>
    <xdr:sp macro="" textlink="">
      <xdr:nvSpPr>
        <xdr:cNvPr id="6" name="CasellaDiTesto 5"/>
        <xdr:cNvSpPr txBox="1"/>
      </xdr:nvSpPr>
      <xdr:spPr>
        <a:xfrm>
          <a:off x="3060829" y="19144826"/>
          <a:ext cx="2401018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60</xdr:row>
      <xdr:rowOff>33865</xdr:rowOff>
    </xdr:from>
    <xdr:to>
      <xdr:col>8</xdr:col>
      <xdr:colOff>59267</xdr:colOff>
      <xdr:row>61</xdr:row>
      <xdr:rowOff>21265</xdr:rowOff>
    </xdr:to>
    <xdr:sp macro="" textlink="">
      <xdr:nvSpPr>
        <xdr:cNvPr id="7" name="CasellaDiTesto 6"/>
        <xdr:cNvSpPr txBox="1"/>
      </xdr:nvSpPr>
      <xdr:spPr>
        <a:xfrm>
          <a:off x="3060829" y="193734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6</xdr:col>
      <xdr:colOff>5209</xdr:colOff>
      <xdr:row>61</xdr:row>
      <xdr:rowOff>33865</xdr:rowOff>
    </xdr:from>
    <xdr:to>
      <xdr:col>8</xdr:col>
      <xdr:colOff>59267</xdr:colOff>
      <xdr:row>62</xdr:row>
      <xdr:rowOff>21265</xdr:rowOff>
    </xdr:to>
    <xdr:sp macro="" textlink="">
      <xdr:nvSpPr>
        <xdr:cNvPr id="8" name="CasellaDiTesto 7"/>
        <xdr:cNvSpPr txBox="1"/>
      </xdr:nvSpPr>
      <xdr:spPr>
        <a:xfrm>
          <a:off x="3060829" y="19602025"/>
          <a:ext cx="2401018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58</xdr:row>
      <xdr:rowOff>33868</xdr:rowOff>
    </xdr:from>
    <xdr:to>
      <xdr:col>9</xdr:col>
      <xdr:colOff>1447801</xdr:colOff>
      <xdr:row>59</xdr:row>
      <xdr:rowOff>21268</xdr:rowOff>
    </xdr:to>
    <xdr:sp macro="" textlink="">
      <xdr:nvSpPr>
        <xdr:cNvPr id="9" name="CasellaDiTesto 8"/>
        <xdr:cNvSpPr txBox="1"/>
      </xdr:nvSpPr>
      <xdr:spPr>
        <a:xfrm>
          <a:off x="5483989" y="18916228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59</xdr:row>
      <xdr:rowOff>33866</xdr:rowOff>
    </xdr:from>
    <xdr:to>
      <xdr:col>9</xdr:col>
      <xdr:colOff>1447801</xdr:colOff>
      <xdr:row>60</xdr:row>
      <xdr:rowOff>21266</xdr:rowOff>
    </xdr:to>
    <xdr:sp macro="" textlink="">
      <xdr:nvSpPr>
        <xdr:cNvPr id="10" name="CasellaDiTesto 9"/>
        <xdr:cNvSpPr txBox="1"/>
      </xdr:nvSpPr>
      <xdr:spPr>
        <a:xfrm>
          <a:off x="5483989" y="19144826"/>
          <a:ext cx="2539872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60</xdr:row>
      <xdr:rowOff>33865</xdr:rowOff>
    </xdr:from>
    <xdr:to>
      <xdr:col>9</xdr:col>
      <xdr:colOff>1447801</xdr:colOff>
      <xdr:row>61</xdr:row>
      <xdr:rowOff>21265</xdr:rowOff>
    </xdr:to>
    <xdr:sp macro="" textlink="">
      <xdr:nvSpPr>
        <xdr:cNvPr id="11" name="CasellaDiTesto 10"/>
        <xdr:cNvSpPr txBox="1"/>
      </xdr:nvSpPr>
      <xdr:spPr>
        <a:xfrm>
          <a:off x="5483989" y="193734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8</xdr:col>
      <xdr:colOff>81409</xdr:colOff>
      <xdr:row>61</xdr:row>
      <xdr:rowOff>33865</xdr:rowOff>
    </xdr:from>
    <xdr:to>
      <xdr:col>9</xdr:col>
      <xdr:colOff>1447801</xdr:colOff>
      <xdr:row>62</xdr:row>
      <xdr:rowOff>21265</xdr:rowOff>
    </xdr:to>
    <xdr:sp macro="" textlink="">
      <xdr:nvSpPr>
        <xdr:cNvPr id="12" name="CasellaDiTesto 11"/>
        <xdr:cNvSpPr txBox="1"/>
      </xdr:nvSpPr>
      <xdr:spPr>
        <a:xfrm>
          <a:off x="5483989" y="19602025"/>
          <a:ext cx="2539872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58</xdr:row>
      <xdr:rowOff>33868</xdr:rowOff>
    </xdr:from>
    <xdr:to>
      <xdr:col>12</xdr:col>
      <xdr:colOff>16933</xdr:colOff>
      <xdr:row>59</xdr:row>
      <xdr:rowOff>21268</xdr:rowOff>
    </xdr:to>
    <xdr:sp macro="" textlink="">
      <xdr:nvSpPr>
        <xdr:cNvPr id="13" name="CasellaDiTesto 12"/>
        <xdr:cNvSpPr txBox="1"/>
      </xdr:nvSpPr>
      <xdr:spPr>
        <a:xfrm>
          <a:off x="8046002" y="18916228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59</xdr:row>
      <xdr:rowOff>33866</xdr:rowOff>
    </xdr:from>
    <xdr:to>
      <xdr:col>12</xdr:col>
      <xdr:colOff>16933</xdr:colOff>
      <xdr:row>60</xdr:row>
      <xdr:rowOff>21266</xdr:rowOff>
    </xdr:to>
    <xdr:sp macro="" textlink="">
      <xdr:nvSpPr>
        <xdr:cNvPr id="14" name="CasellaDiTesto 13"/>
        <xdr:cNvSpPr txBox="1"/>
      </xdr:nvSpPr>
      <xdr:spPr>
        <a:xfrm>
          <a:off x="8046002" y="19144826"/>
          <a:ext cx="2257931" cy="216000"/>
        </a:xfrm>
        <a:prstGeom prst="rect">
          <a:avLst/>
        </a:prstGeom>
        <a:solidFill>
          <a:srgbClr val="D9D9D9"/>
        </a:solidFill>
        <a:ln w="12700" cmpd="sng">
          <a:solidFill>
            <a:schemeClr val="bg1">
              <a:lumMod val="6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60</xdr:row>
      <xdr:rowOff>33865</xdr:rowOff>
    </xdr:from>
    <xdr:to>
      <xdr:col>12</xdr:col>
      <xdr:colOff>16933</xdr:colOff>
      <xdr:row>61</xdr:row>
      <xdr:rowOff>21265</xdr:rowOff>
    </xdr:to>
    <xdr:sp macro="" textlink="">
      <xdr:nvSpPr>
        <xdr:cNvPr id="15" name="CasellaDiTesto 14"/>
        <xdr:cNvSpPr txBox="1"/>
      </xdr:nvSpPr>
      <xdr:spPr>
        <a:xfrm>
          <a:off x="8046002" y="193734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9</xdr:col>
      <xdr:colOff>1469942</xdr:colOff>
      <xdr:row>61</xdr:row>
      <xdr:rowOff>33865</xdr:rowOff>
    </xdr:from>
    <xdr:to>
      <xdr:col>12</xdr:col>
      <xdr:colOff>16933</xdr:colOff>
      <xdr:row>62</xdr:row>
      <xdr:rowOff>21265</xdr:rowOff>
    </xdr:to>
    <xdr:sp macro="" textlink="">
      <xdr:nvSpPr>
        <xdr:cNvPr id="16" name="CasellaDiTesto 15"/>
        <xdr:cNvSpPr txBox="1"/>
      </xdr:nvSpPr>
      <xdr:spPr>
        <a:xfrm>
          <a:off x="8046002" y="19602025"/>
          <a:ext cx="2257931" cy="216000"/>
        </a:xfrm>
        <a:prstGeom prst="rect">
          <a:avLst/>
        </a:prstGeom>
        <a:solidFill>
          <a:schemeClr val="bg1">
            <a:lumMod val="50000"/>
          </a:schemeClr>
        </a:solidFill>
        <a:ln w="12700" cmpd="sng"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it-IT" sz="2800"/>
        </a:p>
      </xdr:txBody>
    </xdr:sp>
    <xdr:clientData/>
  </xdr:twoCellAnchor>
  <xdr:twoCellAnchor>
    <xdr:from>
      <xdr:col>1</xdr:col>
      <xdr:colOff>0</xdr:colOff>
      <xdr:row>15</xdr:row>
      <xdr:rowOff>67733</xdr:rowOff>
    </xdr:from>
    <xdr:to>
      <xdr:col>1</xdr:col>
      <xdr:colOff>0</xdr:colOff>
      <xdr:row>15</xdr:row>
      <xdr:rowOff>220133</xdr:rowOff>
    </xdr:to>
    <xdr:sp macro="" textlink="">
      <xdr:nvSpPr>
        <xdr:cNvPr id="26" name="Rettangolo 25"/>
        <xdr:cNvSpPr/>
      </xdr:nvSpPr>
      <xdr:spPr>
        <a:xfrm>
          <a:off x="419862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1159932</xdr:colOff>
      <xdr:row>15</xdr:row>
      <xdr:rowOff>42332</xdr:rowOff>
    </xdr:from>
    <xdr:to>
      <xdr:col>5</xdr:col>
      <xdr:colOff>1295398</xdr:colOff>
      <xdr:row>15</xdr:row>
      <xdr:rowOff>194732</xdr:rowOff>
    </xdr:to>
    <xdr:sp macro="" textlink="">
      <xdr:nvSpPr>
        <xdr:cNvPr id="28" name="Rettangolo 27"/>
        <xdr:cNvSpPr/>
      </xdr:nvSpPr>
      <xdr:spPr>
        <a:xfrm>
          <a:off x="5389032" y="26239892"/>
          <a:ext cx="13546" cy="152400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584200</xdr:colOff>
      <xdr:row>6</xdr:row>
      <xdr:rowOff>7620</xdr:rowOff>
    </xdr:from>
    <xdr:to>
      <xdr:col>8</xdr:col>
      <xdr:colOff>937260</xdr:colOff>
      <xdr:row>23</xdr:row>
      <xdr:rowOff>45720</xdr:rowOff>
    </xdr:to>
    <xdr:graphicFrame macro="">
      <xdr:nvGraphicFramePr>
        <xdr:cNvPr id="43" name="Grafico 4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372519</xdr:colOff>
      <xdr:row>9</xdr:row>
      <xdr:rowOff>151552</xdr:rowOff>
    </xdr:from>
    <xdr:to>
      <xdr:col>8</xdr:col>
      <xdr:colOff>516453</xdr:colOff>
      <xdr:row>19</xdr:row>
      <xdr:rowOff>100752</xdr:rowOff>
    </xdr:to>
    <xdr:sp macro="" textlink="">
      <xdr:nvSpPr>
        <xdr:cNvPr id="45" name="Parentesi graffa chiusa 44"/>
        <xdr:cNvSpPr/>
      </xdr:nvSpPr>
      <xdr:spPr>
        <a:xfrm>
          <a:off x="17928999" y="4060612"/>
          <a:ext cx="143934" cy="1762760"/>
        </a:xfrm>
        <a:prstGeom prst="rightBrace">
          <a:avLst>
            <a:gd name="adj1" fmla="val 8333"/>
            <a:gd name="adj2" fmla="val 50763"/>
          </a:avLst>
        </a:prstGeom>
        <a:ln>
          <a:solidFill>
            <a:srgbClr val="7F7F7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  <xdr:txBody>
        <a:bodyPr wrap="square"/>
        <a:lstStyle/>
        <a:p>
          <a:endParaRPr lang="it-IT"/>
        </a:p>
      </xdr:txBody>
    </xdr:sp>
    <xdr:clientData/>
  </xdr:twoCellAnchor>
  <xdr:twoCellAnchor>
    <xdr:from>
      <xdr:col>8</xdr:col>
      <xdr:colOff>748438</xdr:colOff>
      <xdr:row>12</xdr:row>
      <xdr:rowOff>114300</xdr:rowOff>
    </xdr:from>
    <xdr:to>
      <xdr:col>8</xdr:col>
      <xdr:colOff>1340258</xdr:colOff>
      <xdr:row>15</xdr:row>
      <xdr:rowOff>100754</xdr:rowOff>
    </xdr:to>
    <xdr:sp macro="" textlink="">
      <xdr:nvSpPr>
        <xdr:cNvPr id="46" name="CasellaDiTesto 45"/>
        <xdr:cNvSpPr txBox="1"/>
      </xdr:nvSpPr>
      <xdr:spPr>
        <a:xfrm>
          <a:off x="18304918" y="4663440"/>
          <a:ext cx="591820" cy="489374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incrementale</a:t>
          </a:r>
          <a:endParaRPr lang="it-IT" sz="1100"/>
        </a:p>
      </xdr:txBody>
    </xdr:sp>
    <xdr:clientData/>
  </xdr:twoCellAnchor>
  <xdr:twoCellAnchor>
    <xdr:from>
      <xdr:col>8</xdr:col>
      <xdr:colOff>656152</xdr:colOff>
      <xdr:row>19</xdr:row>
      <xdr:rowOff>53340</xdr:rowOff>
    </xdr:from>
    <xdr:to>
      <xdr:col>8</xdr:col>
      <xdr:colOff>1295400</xdr:colOff>
      <xdr:row>21</xdr:row>
      <xdr:rowOff>160020</xdr:rowOff>
    </xdr:to>
    <xdr:sp macro="" textlink="">
      <xdr:nvSpPr>
        <xdr:cNvPr id="47" name="CasellaDiTesto 46"/>
        <xdr:cNvSpPr txBox="1"/>
      </xdr:nvSpPr>
      <xdr:spPr>
        <a:xfrm>
          <a:off x="18212632" y="5775960"/>
          <a:ext cx="639248" cy="441960"/>
        </a:xfrm>
        <a:prstGeom prst="rect">
          <a:avLst/>
        </a:prstGeom>
        <a:solidFill>
          <a:schemeClr val="bg1">
            <a:lumMod val="7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/>
            <a:t>Spesa</a:t>
          </a:r>
          <a:r>
            <a:rPr lang="it-IT" sz="1100" baseline="0"/>
            <a:t> media</a:t>
          </a:r>
          <a:endParaRPr lang="it-IT" sz="1100"/>
        </a:p>
      </xdr:txBody>
    </xdr:sp>
    <xdr:clientData/>
  </xdr:twoCellAnchor>
  <xdr:twoCellAnchor>
    <xdr:from>
      <xdr:col>5</xdr:col>
      <xdr:colOff>1143000</xdr:colOff>
      <xdr:row>21</xdr:row>
      <xdr:rowOff>67733</xdr:rowOff>
    </xdr:from>
    <xdr:to>
      <xdr:col>5</xdr:col>
      <xdr:colOff>1278466</xdr:colOff>
      <xdr:row>21</xdr:row>
      <xdr:rowOff>220133</xdr:rowOff>
    </xdr:to>
    <xdr:sp macro="" textlink="">
      <xdr:nvSpPr>
        <xdr:cNvPr id="52" name="Rettangolo 51"/>
        <xdr:cNvSpPr/>
      </xdr:nvSpPr>
      <xdr:spPr>
        <a:xfrm>
          <a:off x="5631180" y="26265293"/>
          <a:ext cx="28786" cy="152400"/>
        </a:xfrm>
        <a:prstGeom prst="rect">
          <a:avLst/>
        </a:prstGeom>
        <a:solidFill>
          <a:schemeClr val="bg1">
            <a:lumMod val="95000"/>
          </a:schemeClr>
        </a:solidFill>
        <a:ln>
          <a:noFill/>
        </a:ln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5</xdr:col>
      <xdr:colOff>312420</xdr:colOff>
      <xdr:row>24</xdr:row>
      <xdr:rowOff>103233</xdr:rowOff>
    </xdr:from>
    <xdr:to>
      <xdr:col>9</xdr:col>
      <xdr:colOff>342900</xdr:colOff>
      <xdr:row>45</xdr:row>
      <xdr:rowOff>83820</xdr:rowOff>
    </xdr:to>
    <xdr:graphicFrame macro="">
      <xdr:nvGraphicFramePr>
        <xdr:cNvPr id="56" name="Grafico 5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1808922</xdr:colOff>
      <xdr:row>22</xdr:row>
      <xdr:rowOff>83820</xdr:rowOff>
    </xdr:from>
    <xdr:to>
      <xdr:col>6</xdr:col>
      <xdr:colOff>80029</xdr:colOff>
      <xdr:row>23</xdr:row>
      <xdr:rowOff>160020</xdr:rowOff>
    </xdr:to>
    <xdr:sp macro="" textlink="">
      <xdr:nvSpPr>
        <xdr:cNvPr id="33" name="CasellaDiTesto 32"/>
        <xdr:cNvSpPr txBox="1"/>
      </xdr:nvSpPr>
      <xdr:spPr>
        <a:xfrm>
          <a:off x="5108713" y="3867316"/>
          <a:ext cx="649873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2012</a:t>
          </a:r>
        </a:p>
        <a:p>
          <a:endParaRPr lang="it-IT" sz="1100"/>
        </a:p>
      </xdr:txBody>
    </xdr:sp>
    <xdr:clientData/>
  </xdr:twoCellAnchor>
  <xdr:twoCellAnchor>
    <xdr:from>
      <xdr:col>6</xdr:col>
      <xdr:colOff>2057400</xdr:colOff>
      <xdr:row>22</xdr:row>
      <xdr:rowOff>76200</xdr:rowOff>
    </xdr:from>
    <xdr:to>
      <xdr:col>6</xdr:col>
      <xdr:colOff>2705947</xdr:colOff>
      <xdr:row>24</xdr:row>
      <xdr:rowOff>0</xdr:rowOff>
    </xdr:to>
    <xdr:sp macro="" textlink="">
      <xdr:nvSpPr>
        <xdr:cNvPr id="34" name="CasellaDiTesto 33"/>
        <xdr:cNvSpPr txBox="1"/>
      </xdr:nvSpPr>
      <xdr:spPr>
        <a:xfrm>
          <a:off x="14455140" y="6301740"/>
          <a:ext cx="648547" cy="27093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6</xdr:col>
      <xdr:colOff>1391146</xdr:colOff>
      <xdr:row>22</xdr:row>
      <xdr:rowOff>88458</xdr:rowOff>
    </xdr:from>
    <xdr:to>
      <xdr:col>7</xdr:col>
      <xdr:colOff>495815</xdr:colOff>
      <xdr:row>24</xdr:row>
      <xdr:rowOff>19878</xdr:rowOff>
    </xdr:to>
    <xdr:sp macro="" textlink="">
      <xdr:nvSpPr>
        <xdr:cNvPr id="35" name="CasellaDiTesto 34"/>
        <xdr:cNvSpPr txBox="1"/>
      </xdr:nvSpPr>
      <xdr:spPr>
        <a:xfrm>
          <a:off x="7069703" y="3871954"/>
          <a:ext cx="648547" cy="26272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2014</a:t>
          </a:r>
        </a:p>
        <a:p>
          <a:endParaRPr lang="it-IT" sz="1100"/>
        </a:p>
      </xdr:txBody>
    </xdr:sp>
    <xdr:clientData/>
  </xdr:twoCellAnchor>
  <xdr:twoCellAnchor>
    <xdr:from>
      <xdr:col>7</xdr:col>
      <xdr:colOff>792480</xdr:colOff>
      <xdr:row>22</xdr:row>
      <xdr:rowOff>68580</xdr:rowOff>
    </xdr:from>
    <xdr:to>
      <xdr:col>8</xdr:col>
      <xdr:colOff>541020</xdr:colOff>
      <xdr:row>23</xdr:row>
      <xdr:rowOff>152400</xdr:rowOff>
    </xdr:to>
    <xdr:sp macro="" textlink="">
      <xdr:nvSpPr>
        <xdr:cNvPr id="36" name="CasellaDiTesto 35"/>
        <xdr:cNvSpPr txBox="1"/>
      </xdr:nvSpPr>
      <xdr:spPr>
        <a:xfrm>
          <a:off x="8023860" y="3817620"/>
          <a:ext cx="929640" cy="251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  <xdr:twoCellAnchor>
    <xdr:from>
      <xdr:col>6</xdr:col>
      <xdr:colOff>394915</xdr:colOff>
      <xdr:row>22</xdr:row>
      <xdr:rowOff>76200</xdr:rowOff>
    </xdr:from>
    <xdr:to>
      <xdr:col>6</xdr:col>
      <xdr:colOff>1043462</xdr:colOff>
      <xdr:row>23</xdr:row>
      <xdr:rowOff>152400</xdr:rowOff>
    </xdr:to>
    <xdr:sp macro="" textlink="">
      <xdr:nvSpPr>
        <xdr:cNvPr id="30" name="CasellaDiTesto 29"/>
        <xdr:cNvSpPr txBox="1"/>
      </xdr:nvSpPr>
      <xdr:spPr>
        <a:xfrm>
          <a:off x="6073472" y="3859696"/>
          <a:ext cx="648547" cy="24185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2013</a:t>
          </a:r>
        </a:p>
        <a:p>
          <a:endParaRPr lang="it-IT" sz="1100"/>
        </a:p>
      </xdr:txBody>
    </xdr:sp>
    <xdr:clientData/>
  </xdr:twoCellAnchor>
  <xdr:twoCellAnchor>
    <xdr:from>
      <xdr:col>5</xdr:col>
      <xdr:colOff>1402080</xdr:colOff>
      <xdr:row>22</xdr:row>
      <xdr:rowOff>81832</xdr:rowOff>
    </xdr:from>
    <xdr:to>
      <xdr:col>5</xdr:col>
      <xdr:colOff>1959002</xdr:colOff>
      <xdr:row>24</xdr:row>
      <xdr:rowOff>0</xdr:rowOff>
    </xdr:to>
    <xdr:sp macro="" textlink="">
      <xdr:nvSpPr>
        <xdr:cNvPr id="31" name="CasellaDiTesto 30"/>
        <xdr:cNvSpPr txBox="1"/>
      </xdr:nvSpPr>
      <xdr:spPr>
        <a:xfrm>
          <a:off x="4701871" y="3865328"/>
          <a:ext cx="556922" cy="24947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it-IT" sz="1100" b="1"/>
            <a:t>anno di rif.</a:t>
          </a:r>
        </a:p>
        <a:p>
          <a:endParaRPr lang="it-IT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3"/>
  <dimension ref="A1:AD105"/>
  <sheetViews>
    <sheetView workbookViewId="0">
      <selection activeCell="G21" sqref="G21"/>
    </sheetView>
  </sheetViews>
  <sheetFormatPr defaultRowHeight="13.2" x14ac:dyDescent="0.25"/>
  <cols>
    <col min="1" max="1" width="1.77734375" style="247" customWidth="1"/>
    <col min="2" max="2" width="35" style="321" bestFit="1" customWidth="1"/>
    <col min="3" max="3" width="59.77734375" style="330" bestFit="1" customWidth="1"/>
    <col min="4" max="4" width="1.77734375" style="247" customWidth="1"/>
    <col min="5" max="5" width="8.88671875" style="320"/>
    <col min="6" max="6" width="59" style="320" bestFit="1" customWidth="1"/>
    <col min="7" max="11" width="8.88671875" style="320"/>
  </cols>
  <sheetData>
    <row r="1" spans="1:30" s="247" customFormat="1" ht="9" customHeight="1" x14ac:dyDescent="0.25">
      <c r="A1" s="245"/>
      <c r="B1" s="245"/>
      <c r="C1" s="328"/>
      <c r="D1" s="245"/>
      <c r="E1" s="245"/>
      <c r="M1" s="257"/>
      <c r="N1" s="257"/>
      <c r="P1" s="258"/>
      <c r="Q1" s="248"/>
      <c r="R1" s="249"/>
      <c r="S1" s="249"/>
      <c r="T1" s="249"/>
      <c r="U1" s="249"/>
      <c r="W1" s="249"/>
      <c r="X1" s="249"/>
      <c r="Y1" s="249"/>
      <c r="Z1" s="249"/>
      <c r="AA1" s="249"/>
      <c r="AB1" s="249"/>
      <c r="AC1" s="249"/>
      <c r="AD1" s="249"/>
    </row>
    <row r="2" spans="1:30" s="1" customFormat="1" ht="14.4" x14ac:dyDescent="0.3">
      <c r="A2" s="259"/>
      <c r="B2" s="323" t="s">
        <v>236</v>
      </c>
      <c r="C2" s="328"/>
      <c r="D2" s="259"/>
      <c r="E2" s="322"/>
      <c r="F2" s="322"/>
      <c r="G2" s="322"/>
      <c r="H2" s="322"/>
      <c r="I2" s="322"/>
      <c r="J2" s="322"/>
      <c r="K2" s="322"/>
    </row>
    <row r="3" spans="1:30" s="1" customFormat="1" ht="14.4" x14ac:dyDescent="0.3">
      <c r="A3" s="259"/>
      <c r="B3" s="327" t="s">
        <v>237</v>
      </c>
      <c r="C3" s="329">
        <v>2015</v>
      </c>
      <c r="D3" s="259"/>
      <c r="E3" s="322"/>
      <c r="F3" s="322"/>
      <c r="G3" s="322"/>
      <c r="H3" s="322"/>
      <c r="I3" s="322"/>
      <c r="J3" s="322"/>
      <c r="K3" s="322"/>
    </row>
    <row r="4" spans="1:30" ht="14.4" x14ac:dyDescent="0.3">
      <c r="A4" s="259"/>
      <c r="B4" s="323" t="s">
        <v>212</v>
      </c>
      <c r="C4" s="328"/>
      <c r="D4" s="259"/>
      <c r="E4" s="322"/>
      <c r="F4" s="322"/>
      <c r="G4" s="322"/>
      <c r="H4" s="322"/>
      <c r="I4" s="322"/>
      <c r="J4" s="322"/>
      <c r="K4" s="322"/>
    </row>
    <row r="5" spans="1:30" ht="14.4" x14ac:dyDescent="0.3">
      <c r="A5" s="259"/>
      <c r="B5" s="324" t="s">
        <v>213</v>
      </c>
      <c r="C5" s="329"/>
      <c r="D5" s="259"/>
      <c r="E5" s="322"/>
      <c r="F5" s="322"/>
      <c r="G5" s="322"/>
      <c r="H5" s="322"/>
      <c r="I5" s="322"/>
      <c r="J5" s="322"/>
      <c r="K5" s="322"/>
    </row>
    <row r="6" spans="1:30" ht="14.4" x14ac:dyDescent="0.3">
      <c r="A6" s="259"/>
      <c r="B6" s="324" t="s">
        <v>214</v>
      </c>
      <c r="C6" s="329"/>
      <c r="D6" s="259"/>
      <c r="E6" s="322"/>
      <c r="F6" s="322"/>
      <c r="G6" s="322"/>
      <c r="H6" s="322"/>
      <c r="I6" s="322"/>
      <c r="J6" s="322"/>
      <c r="K6" s="322"/>
    </row>
    <row r="7" spans="1:30" ht="14.4" x14ac:dyDescent="0.3">
      <c r="A7" s="259"/>
      <c r="B7" s="259"/>
      <c r="C7" s="328"/>
      <c r="D7" s="259"/>
      <c r="E7" s="322"/>
      <c r="F7" s="322"/>
      <c r="G7" s="322"/>
      <c r="H7" s="322"/>
      <c r="I7" s="322"/>
      <c r="J7" s="322"/>
      <c r="K7" s="322"/>
    </row>
    <row r="8" spans="1:30" ht="14.4" x14ac:dyDescent="0.3">
      <c r="A8" s="259"/>
      <c r="B8" s="324" t="s">
        <v>215</v>
      </c>
      <c r="C8" s="329"/>
      <c r="D8" s="259"/>
      <c r="E8" s="322"/>
      <c r="F8" s="322"/>
      <c r="G8" s="322"/>
      <c r="H8" s="322"/>
      <c r="I8" s="322"/>
      <c r="J8" s="322"/>
      <c r="K8" s="322"/>
    </row>
    <row r="9" spans="1:30" ht="14.4" x14ac:dyDescent="0.3">
      <c r="A9" s="259"/>
      <c r="B9" s="324" t="s">
        <v>216</v>
      </c>
      <c r="C9" s="329"/>
      <c r="D9" s="259"/>
      <c r="E9" s="322"/>
      <c r="F9" s="322"/>
      <c r="G9" s="322"/>
      <c r="H9" s="322"/>
      <c r="I9" s="322"/>
      <c r="J9" s="322"/>
      <c r="K9" s="322"/>
    </row>
    <row r="10" spans="1:30" ht="14.4" x14ac:dyDescent="0.3">
      <c r="A10" s="259"/>
      <c r="B10" s="324" t="s">
        <v>217</v>
      </c>
      <c r="C10" s="329"/>
      <c r="D10" s="259"/>
      <c r="E10" s="322"/>
      <c r="F10" s="322"/>
      <c r="G10" s="322"/>
      <c r="H10" s="322"/>
      <c r="I10" s="322"/>
      <c r="J10" s="322"/>
      <c r="K10" s="322"/>
    </row>
    <row r="11" spans="1:30" ht="14.4" x14ac:dyDescent="0.3">
      <c r="A11" s="259"/>
      <c r="B11" s="324" t="s">
        <v>218</v>
      </c>
      <c r="C11" s="329"/>
      <c r="D11" s="259"/>
      <c r="E11" s="322"/>
      <c r="F11" s="322"/>
      <c r="G11" s="322"/>
      <c r="H11" s="322"/>
      <c r="I11" s="322"/>
      <c r="J11" s="322"/>
      <c r="K11" s="322"/>
    </row>
    <row r="12" spans="1:30" ht="14.4" x14ac:dyDescent="0.3">
      <c r="A12" s="259"/>
      <c r="B12" s="259"/>
      <c r="C12" s="328"/>
      <c r="D12" s="259"/>
      <c r="E12" s="322"/>
      <c r="F12" s="322"/>
      <c r="G12" s="322"/>
      <c r="H12" s="322"/>
      <c r="I12" s="322"/>
      <c r="J12" s="322"/>
      <c r="K12" s="322"/>
    </row>
    <row r="13" spans="1:30" ht="14.4" x14ac:dyDescent="0.3">
      <c r="A13" s="259"/>
      <c r="B13" s="324" t="s">
        <v>219</v>
      </c>
      <c r="C13" s="329"/>
      <c r="D13" s="259"/>
      <c r="E13" s="322"/>
      <c r="F13" s="322"/>
      <c r="G13" s="322"/>
      <c r="H13" s="322"/>
      <c r="I13" s="322"/>
      <c r="J13" s="322"/>
      <c r="K13" s="322"/>
    </row>
    <row r="14" spans="1:30" ht="14.4" x14ac:dyDescent="0.3">
      <c r="A14" s="259"/>
      <c r="B14" s="259"/>
      <c r="C14" s="328"/>
      <c r="D14" s="259"/>
      <c r="E14" s="322"/>
      <c r="F14" s="322"/>
      <c r="G14" s="322"/>
      <c r="H14" s="322"/>
      <c r="I14" s="322"/>
      <c r="J14" s="322"/>
      <c r="K14" s="322"/>
    </row>
    <row r="15" spans="1:30" ht="14.4" x14ac:dyDescent="0.3">
      <c r="A15" s="259"/>
      <c r="B15" s="324" t="s">
        <v>220</v>
      </c>
      <c r="C15" s="329"/>
      <c r="D15" s="259"/>
      <c r="E15" s="322"/>
      <c r="F15" s="322"/>
      <c r="G15" s="322"/>
      <c r="H15" s="322"/>
      <c r="I15" s="322"/>
      <c r="J15" s="322"/>
      <c r="K15" s="322"/>
    </row>
    <row r="16" spans="1:30" ht="14.4" x14ac:dyDescent="0.3">
      <c r="A16" s="259"/>
      <c r="B16" s="259"/>
      <c r="C16" s="328"/>
      <c r="D16" s="259"/>
      <c r="E16" s="322"/>
      <c r="F16" s="322"/>
      <c r="G16" s="322"/>
      <c r="H16" s="322"/>
      <c r="I16" s="322"/>
      <c r="J16" s="322"/>
      <c r="K16" s="322"/>
    </row>
    <row r="17" spans="1:11" ht="14.4" x14ac:dyDescent="0.3">
      <c r="A17" s="259"/>
      <c r="B17" s="324" t="s">
        <v>221</v>
      </c>
      <c r="C17" s="329"/>
      <c r="D17" s="259"/>
      <c r="E17" s="322"/>
      <c r="F17" s="322"/>
      <c r="G17" s="322"/>
      <c r="H17" s="322"/>
      <c r="I17" s="322"/>
      <c r="J17" s="322"/>
      <c r="K17" s="322"/>
    </row>
    <row r="18" spans="1:11" ht="14.4" x14ac:dyDescent="0.3">
      <c r="A18" s="259"/>
      <c r="B18" s="324" t="s">
        <v>222</v>
      </c>
      <c r="C18" s="329"/>
      <c r="D18" s="259"/>
      <c r="E18" s="322"/>
      <c r="F18" s="322"/>
      <c r="G18" s="322"/>
      <c r="H18" s="322"/>
      <c r="I18" s="322"/>
      <c r="J18" s="322"/>
      <c r="K18" s="322"/>
    </row>
    <row r="19" spans="1:11" ht="14.4" x14ac:dyDescent="0.3">
      <c r="A19" s="259"/>
      <c r="B19" s="324" t="s">
        <v>223</v>
      </c>
      <c r="C19" s="329"/>
      <c r="D19" s="259"/>
      <c r="E19" s="322"/>
      <c r="F19" s="322"/>
      <c r="G19" s="322"/>
      <c r="H19" s="322"/>
      <c r="I19" s="322"/>
      <c r="J19" s="322"/>
      <c r="K19" s="322"/>
    </row>
    <row r="20" spans="1:11" ht="14.4" x14ac:dyDescent="0.3">
      <c r="A20" s="259"/>
      <c r="B20" s="259"/>
      <c r="C20" s="328"/>
      <c r="D20" s="259"/>
      <c r="E20" s="322"/>
      <c r="F20" s="322"/>
      <c r="G20" s="322"/>
      <c r="H20" s="322"/>
      <c r="I20" s="322"/>
      <c r="J20" s="322"/>
      <c r="K20" s="322"/>
    </row>
    <row r="21" spans="1:11" ht="14.4" x14ac:dyDescent="0.3">
      <c r="A21" s="259"/>
      <c r="B21" s="324" t="s">
        <v>224</v>
      </c>
      <c r="C21" s="329"/>
      <c r="D21" s="259"/>
      <c r="E21" s="322"/>
      <c r="F21" s="322"/>
      <c r="G21" s="322"/>
      <c r="H21" s="322"/>
      <c r="I21" s="322"/>
      <c r="J21" s="322"/>
      <c r="K21" s="322"/>
    </row>
    <row r="22" spans="1:11" ht="14.4" x14ac:dyDescent="0.3">
      <c r="A22" s="259"/>
      <c r="B22" s="324" t="s">
        <v>225</v>
      </c>
      <c r="C22" s="329"/>
      <c r="D22" s="259"/>
      <c r="E22" s="322"/>
      <c r="F22" s="322"/>
      <c r="G22" s="322"/>
      <c r="H22" s="322"/>
      <c r="I22" s="322"/>
      <c r="J22" s="322"/>
      <c r="K22" s="322"/>
    </row>
    <row r="23" spans="1:11" ht="14.4" x14ac:dyDescent="0.3">
      <c r="A23" s="259"/>
      <c r="B23" s="327" t="s">
        <v>238</v>
      </c>
      <c r="C23" s="329"/>
      <c r="D23" s="259"/>
      <c r="E23" s="322"/>
      <c r="F23" s="322"/>
      <c r="G23" s="322"/>
      <c r="H23" s="322"/>
      <c r="I23" s="322"/>
      <c r="J23" s="322"/>
      <c r="K23" s="322"/>
    </row>
    <row r="24" spans="1:11" ht="14.4" x14ac:dyDescent="0.3">
      <c r="A24" s="259"/>
      <c r="B24" s="259"/>
      <c r="C24" s="328"/>
      <c r="D24" s="259"/>
      <c r="E24" s="322"/>
      <c r="F24" s="322"/>
      <c r="G24" s="322"/>
      <c r="H24" s="322"/>
      <c r="I24" s="322"/>
      <c r="J24" s="322"/>
      <c r="K24" s="322"/>
    </row>
    <row r="25" spans="1:11" ht="14.4" x14ac:dyDescent="0.3">
      <c r="A25" s="259"/>
      <c r="B25" s="324" t="s">
        <v>226</v>
      </c>
      <c r="C25" s="329"/>
      <c r="D25" s="259"/>
      <c r="E25" s="322"/>
      <c r="F25" s="322"/>
      <c r="G25" s="322"/>
      <c r="H25" s="322"/>
      <c r="I25" s="322"/>
      <c r="J25" s="322"/>
      <c r="K25" s="322"/>
    </row>
    <row r="26" spans="1:11" ht="14.4" x14ac:dyDescent="0.3">
      <c r="A26" s="259"/>
      <c r="B26" s="324" t="s">
        <v>227</v>
      </c>
      <c r="C26" s="329"/>
      <c r="D26" s="259"/>
      <c r="E26" s="322"/>
      <c r="F26" s="322"/>
      <c r="G26" s="322"/>
      <c r="H26" s="322"/>
      <c r="I26" s="322"/>
      <c r="J26" s="322"/>
      <c r="K26" s="322"/>
    </row>
    <row r="27" spans="1:11" ht="14.4" x14ac:dyDescent="0.3">
      <c r="A27" s="259"/>
      <c r="B27" s="323" t="s">
        <v>228</v>
      </c>
      <c r="C27" s="328"/>
      <c r="D27" s="259"/>
      <c r="E27" s="322"/>
      <c r="F27" s="322"/>
      <c r="G27" s="322"/>
      <c r="H27" s="322"/>
      <c r="I27" s="322"/>
      <c r="J27" s="322"/>
      <c r="K27" s="322"/>
    </row>
    <row r="28" spans="1:11" ht="14.4" x14ac:dyDescent="0.3">
      <c r="A28" s="259"/>
      <c r="B28" s="324" t="s">
        <v>229</v>
      </c>
      <c r="C28" s="329"/>
      <c r="D28" s="259"/>
      <c r="E28" s="322"/>
      <c r="F28" s="322"/>
      <c r="G28" s="322"/>
      <c r="H28" s="322"/>
      <c r="I28" s="322"/>
      <c r="J28" s="322"/>
      <c r="K28" s="322"/>
    </row>
    <row r="29" spans="1:11" ht="14.4" x14ac:dyDescent="0.3">
      <c r="A29" s="259"/>
      <c r="B29" s="324" t="s">
        <v>230</v>
      </c>
      <c r="C29" s="329"/>
      <c r="D29" s="259"/>
      <c r="E29" s="322"/>
      <c r="F29" s="322"/>
      <c r="G29" s="322"/>
      <c r="H29" s="322"/>
      <c r="I29" s="322"/>
      <c r="J29" s="322"/>
      <c r="K29" s="322"/>
    </row>
    <row r="30" spans="1:11" ht="14.4" x14ac:dyDescent="0.3">
      <c r="A30" s="259"/>
      <c r="B30" s="324" t="s">
        <v>231</v>
      </c>
      <c r="C30" s="329"/>
      <c r="D30" s="259"/>
      <c r="E30" s="322"/>
      <c r="G30" s="322"/>
      <c r="H30" s="322"/>
      <c r="I30" s="322"/>
      <c r="J30" s="322"/>
      <c r="K30" s="322"/>
    </row>
    <row r="31" spans="1:11" ht="14.4" x14ac:dyDescent="0.3">
      <c r="A31" s="259"/>
      <c r="B31" s="323" t="s">
        <v>232</v>
      </c>
      <c r="C31" s="328"/>
      <c r="D31" s="259"/>
      <c r="E31" s="322"/>
      <c r="F31" s="325"/>
      <c r="G31" s="322"/>
      <c r="H31" s="322"/>
      <c r="I31" s="322"/>
      <c r="J31" s="322"/>
      <c r="K31" s="322"/>
    </row>
    <row r="32" spans="1:11" ht="14.4" x14ac:dyDescent="0.3">
      <c r="A32" s="259"/>
      <c r="B32" s="324" t="s">
        <v>233</v>
      </c>
      <c r="C32" s="329"/>
      <c r="D32" s="259"/>
      <c r="E32" s="322"/>
      <c r="G32" s="322"/>
      <c r="H32" s="322"/>
      <c r="I32" s="322"/>
      <c r="J32" s="322"/>
      <c r="K32" s="322"/>
    </row>
    <row r="33" spans="1:30" ht="14.4" x14ac:dyDescent="0.3">
      <c r="A33" s="259"/>
      <c r="B33" s="324" t="s">
        <v>234</v>
      </c>
      <c r="C33" s="329"/>
      <c r="D33" s="259"/>
      <c r="E33" s="322"/>
      <c r="G33" s="322"/>
      <c r="H33" s="322"/>
      <c r="I33" s="322"/>
      <c r="J33" s="322"/>
      <c r="K33" s="322"/>
    </row>
    <row r="34" spans="1:30" ht="14.4" x14ac:dyDescent="0.3">
      <c r="A34" s="259"/>
      <c r="B34" s="324" t="s">
        <v>235</v>
      </c>
      <c r="C34" s="329"/>
      <c r="D34" s="259"/>
      <c r="E34" s="322"/>
      <c r="F34" s="326"/>
      <c r="G34" s="322"/>
      <c r="H34" s="322"/>
      <c r="I34" s="322"/>
      <c r="J34" s="322"/>
      <c r="K34" s="322"/>
    </row>
    <row r="35" spans="1:30" ht="14.4" x14ac:dyDescent="0.3">
      <c r="A35" s="259"/>
      <c r="B35" s="259"/>
      <c r="C35" s="328"/>
      <c r="D35" s="259"/>
      <c r="E35" s="322"/>
      <c r="F35" s="322"/>
      <c r="G35" s="322"/>
      <c r="H35" s="322"/>
      <c r="I35" s="322"/>
      <c r="J35" s="322"/>
      <c r="K35" s="322"/>
    </row>
    <row r="36" spans="1:30" s="247" customFormat="1" ht="9" customHeight="1" x14ac:dyDescent="0.25">
      <c r="A36" s="245"/>
      <c r="B36" s="245"/>
      <c r="C36" s="328"/>
      <c r="D36" s="245"/>
      <c r="E36" s="245"/>
      <c r="M36" s="257"/>
      <c r="N36" s="257"/>
      <c r="P36" s="258"/>
      <c r="Q36" s="248"/>
      <c r="R36" s="249"/>
      <c r="S36" s="249"/>
      <c r="T36" s="249"/>
      <c r="U36" s="249"/>
      <c r="W36" s="249"/>
      <c r="X36" s="249"/>
      <c r="Y36" s="249"/>
      <c r="Z36" s="249"/>
      <c r="AA36" s="249"/>
      <c r="AB36" s="249"/>
      <c r="AC36" s="249"/>
      <c r="AD36" s="249"/>
    </row>
    <row r="37" spans="1:30" ht="14.4" x14ac:dyDescent="0.25">
      <c r="A37" s="248"/>
      <c r="D37" s="248"/>
    </row>
    <row r="38" spans="1:30" ht="14.4" x14ac:dyDescent="0.25">
      <c r="A38" s="248"/>
      <c r="D38" s="248"/>
    </row>
    <row r="39" spans="1:30" ht="14.4" x14ac:dyDescent="0.25">
      <c r="A39" s="248"/>
      <c r="D39" s="248"/>
    </row>
    <row r="40" spans="1:30" ht="14.4" x14ac:dyDescent="0.25">
      <c r="A40" s="248"/>
      <c r="D40" s="248"/>
    </row>
    <row r="41" spans="1:30" ht="14.4" x14ac:dyDescent="0.25">
      <c r="A41" s="248"/>
      <c r="D41" s="248"/>
    </row>
    <row r="42" spans="1:30" ht="14.4" x14ac:dyDescent="0.25">
      <c r="A42" s="248"/>
      <c r="D42" s="248"/>
    </row>
    <row r="43" spans="1:30" ht="14.4" x14ac:dyDescent="0.25">
      <c r="A43" s="248"/>
      <c r="D43" s="248"/>
    </row>
    <row r="44" spans="1:30" ht="14.4" x14ac:dyDescent="0.25">
      <c r="A44" s="248"/>
      <c r="D44" s="248"/>
    </row>
    <row r="45" spans="1:30" ht="14.4" x14ac:dyDescent="0.25">
      <c r="A45" s="248"/>
      <c r="D45" s="248"/>
    </row>
    <row r="46" spans="1:30" ht="14.4" x14ac:dyDescent="0.25">
      <c r="A46" s="248"/>
      <c r="D46" s="248"/>
    </row>
    <row r="47" spans="1:30" ht="14.4" x14ac:dyDescent="0.25">
      <c r="A47" s="248"/>
      <c r="D47" s="248"/>
    </row>
    <row r="48" spans="1:30" ht="14.4" x14ac:dyDescent="0.25">
      <c r="A48" s="248"/>
      <c r="D48" s="248"/>
    </row>
    <row r="49" spans="1:4" ht="14.4" x14ac:dyDescent="0.25">
      <c r="A49" s="248"/>
      <c r="D49" s="248"/>
    </row>
    <row r="50" spans="1:4" ht="14.4" x14ac:dyDescent="0.25">
      <c r="A50" s="248"/>
      <c r="D50" s="248"/>
    </row>
    <row r="51" spans="1:4" ht="14.4" x14ac:dyDescent="0.25">
      <c r="A51" s="248"/>
      <c r="D51" s="248"/>
    </row>
    <row r="52" spans="1:4" ht="14.4" x14ac:dyDescent="0.25">
      <c r="A52" s="248"/>
      <c r="D52" s="248"/>
    </row>
    <row r="53" spans="1:4" ht="14.4" x14ac:dyDescent="0.25">
      <c r="A53" s="248"/>
      <c r="D53" s="248"/>
    </row>
    <row r="54" spans="1:4" ht="14.4" x14ac:dyDescent="0.25">
      <c r="A54" s="248"/>
      <c r="D54" s="248"/>
    </row>
    <row r="55" spans="1:4" ht="14.4" x14ac:dyDescent="0.25">
      <c r="A55" s="248"/>
      <c r="D55" s="248"/>
    </row>
    <row r="56" spans="1:4" ht="14.4" x14ac:dyDescent="0.25">
      <c r="A56" s="248"/>
      <c r="D56" s="248"/>
    </row>
    <row r="57" spans="1:4" ht="14.4" x14ac:dyDescent="0.25">
      <c r="A57" s="248"/>
      <c r="D57" s="248"/>
    </row>
    <row r="58" spans="1:4" ht="14.4" x14ac:dyDescent="0.25">
      <c r="A58" s="248"/>
      <c r="D58" s="248"/>
    </row>
    <row r="59" spans="1:4" ht="14.4" x14ac:dyDescent="0.25">
      <c r="A59" s="248"/>
      <c r="D59" s="248"/>
    </row>
    <row r="60" spans="1:4" ht="14.4" x14ac:dyDescent="0.25">
      <c r="A60" s="248"/>
      <c r="D60" s="248"/>
    </row>
    <row r="61" spans="1:4" ht="14.4" x14ac:dyDescent="0.25">
      <c r="A61" s="248"/>
      <c r="D61" s="248"/>
    </row>
    <row r="62" spans="1:4" ht="14.4" x14ac:dyDescent="0.25">
      <c r="A62" s="248"/>
      <c r="D62" s="248"/>
    </row>
    <row r="63" spans="1:4" ht="14.4" x14ac:dyDescent="0.25">
      <c r="A63" s="248"/>
      <c r="D63" s="248"/>
    </row>
    <row r="64" spans="1:4" ht="14.4" x14ac:dyDescent="0.25">
      <c r="A64" s="248"/>
      <c r="D64" s="248"/>
    </row>
    <row r="65" spans="1:4" ht="14.4" x14ac:dyDescent="0.25">
      <c r="A65" s="248"/>
      <c r="D65" s="248"/>
    </row>
    <row r="66" spans="1:4" ht="14.4" x14ac:dyDescent="0.25">
      <c r="A66" s="248"/>
      <c r="D66" s="248"/>
    </row>
    <row r="67" spans="1:4" ht="14.4" x14ac:dyDescent="0.25">
      <c r="A67" s="248"/>
      <c r="D67" s="248"/>
    </row>
    <row r="68" spans="1:4" ht="14.4" x14ac:dyDescent="0.25">
      <c r="A68" s="248"/>
      <c r="D68" s="248"/>
    </row>
    <row r="69" spans="1:4" ht="14.4" x14ac:dyDescent="0.25">
      <c r="A69" s="248"/>
      <c r="D69" s="248"/>
    </row>
    <row r="70" spans="1:4" ht="14.4" x14ac:dyDescent="0.25">
      <c r="A70" s="248"/>
      <c r="D70" s="248"/>
    </row>
    <row r="71" spans="1:4" ht="14.4" x14ac:dyDescent="0.25">
      <c r="A71" s="248"/>
      <c r="D71" s="248"/>
    </row>
    <row r="72" spans="1:4" ht="14.4" x14ac:dyDescent="0.25">
      <c r="A72" s="248"/>
      <c r="D72" s="248"/>
    </row>
    <row r="73" spans="1:4" ht="14.4" x14ac:dyDescent="0.25">
      <c r="A73" s="248"/>
      <c r="D73" s="248"/>
    </row>
    <row r="74" spans="1:4" ht="14.4" x14ac:dyDescent="0.25">
      <c r="A74" s="248"/>
      <c r="D74" s="248"/>
    </row>
    <row r="75" spans="1:4" ht="14.4" x14ac:dyDescent="0.25">
      <c r="A75" s="248"/>
      <c r="D75" s="248"/>
    </row>
    <row r="76" spans="1:4" ht="14.4" x14ac:dyDescent="0.25">
      <c r="A76" s="248"/>
      <c r="D76" s="248"/>
    </row>
    <row r="77" spans="1:4" ht="14.4" x14ac:dyDescent="0.25">
      <c r="A77" s="248"/>
      <c r="D77" s="248"/>
    </row>
    <row r="78" spans="1:4" ht="14.4" x14ac:dyDescent="0.25">
      <c r="A78" s="248"/>
      <c r="D78" s="248"/>
    </row>
    <row r="79" spans="1:4" ht="14.4" x14ac:dyDescent="0.25">
      <c r="A79" s="248"/>
      <c r="D79" s="248"/>
    </row>
    <row r="80" spans="1:4" ht="14.4" x14ac:dyDescent="0.25">
      <c r="A80" s="248"/>
      <c r="D80" s="248"/>
    </row>
    <row r="81" spans="1:4" ht="14.4" x14ac:dyDescent="0.25">
      <c r="A81" s="248"/>
      <c r="D81" s="248"/>
    </row>
    <row r="82" spans="1:4" ht="14.4" x14ac:dyDescent="0.25">
      <c r="A82" s="248"/>
      <c r="D82" s="248"/>
    </row>
    <row r="83" spans="1:4" ht="14.4" x14ac:dyDescent="0.25">
      <c r="A83" s="248"/>
      <c r="D83" s="248"/>
    </row>
    <row r="84" spans="1:4" ht="14.4" x14ac:dyDescent="0.25">
      <c r="A84" s="248"/>
      <c r="D84" s="248"/>
    </row>
    <row r="85" spans="1:4" ht="14.4" x14ac:dyDescent="0.25">
      <c r="A85" s="248"/>
      <c r="D85" s="248"/>
    </row>
    <row r="86" spans="1:4" ht="14.4" x14ac:dyDescent="0.25">
      <c r="A86" s="248"/>
      <c r="D86" s="248"/>
    </row>
    <row r="87" spans="1:4" ht="14.4" x14ac:dyDescent="0.25">
      <c r="A87" s="248"/>
      <c r="D87" s="248"/>
    </row>
    <row r="88" spans="1:4" ht="14.4" x14ac:dyDescent="0.25">
      <c r="A88" s="248"/>
      <c r="D88" s="248"/>
    </row>
    <row r="89" spans="1:4" ht="14.4" x14ac:dyDescent="0.25">
      <c r="A89" s="248"/>
      <c r="D89" s="248"/>
    </row>
    <row r="90" spans="1:4" ht="14.4" x14ac:dyDescent="0.25">
      <c r="A90" s="248"/>
      <c r="D90" s="248"/>
    </row>
    <row r="91" spans="1:4" ht="14.4" x14ac:dyDescent="0.25">
      <c r="A91" s="248"/>
      <c r="D91" s="248"/>
    </row>
    <row r="92" spans="1:4" ht="14.4" x14ac:dyDescent="0.25">
      <c r="A92" s="248"/>
      <c r="D92" s="248"/>
    </row>
    <row r="93" spans="1:4" ht="14.4" x14ac:dyDescent="0.25">
      <c r="A93" s="248"/>
      <c r="D93" s="248"/>
    </row>
    <row r="94" spans="1:4" ht="14.4" x14ac:dyDescent="0.25">
      <c r="A94" s="248"/>
      <c r="D94" s="248"/>
    </row>
    <row r="95" spans="1:4" ht="14.4" x14ac:dyDescent="0.25">
      <c r="A95" s="248"/>
      <c r="D95" s="248"/>
    </row>
    <row r="96" spans="1:4" ht="14.4" x14ac:dyDescent="0.25">
      <c r="A96" s="248"/>
      <c r="D96" s="248"/>
    </row>
    <row r="97" spans="1:4" ht="14.4" x14ac:dyDescent="0.25">
      <c r="A97" s="248"/>
      <c r="D97" s="248"/>
    </row>
    <row r="98" spans="1:4" ht="14.4" x14ac:dyDescent="0.25">
      <c r="A98" s="248"/>
      <c r="D98" s="248"/>
    </row>
    <row r="99" spans="1:4" ht="14.4" x14ac:dyDescent="0.25">
      <c r="A99" s="248"/>
      <c r="D99" s="248"/>
    </row>
    <row r="100" spans="1:4" ht="14.4" x14ac:dyDescent="0.25">
      <c r="A100" s="248"/>
      <c r="D100" s="248"/>
    </row>
    <row r="101" spans="1:4" ht="14.4" x14ac:dyDescent="0.25">
      <c r="A101" s="248"/>
      <c r="D101" s="248"/>
    </row>
    <row r="102" spans="1:4" ht="14.4" x14ac:dyDescent="0.25">
      <c r="A102" s="248"/>
      <c r="D102" s="248"/>
    </row>
    <row r="103" spans="1:4" ht="14.4" x14ac:dyDescent="0.25">
      <c r="A103" s="248"/>
      <c r="D103" s="248"/>
    </row>
    <row r="104" spans="1:4" ht="14.4" x14ac:dyDescent="0.25">
      <c r="A104" s="248"/>
      <c r="D104" s="248"/>
    </row>
    <row r="105" spans="1:4" ht="14.4" x14ac:dyDescent="0.25">
      <c r="A105" s="248"/>
      <c r="D105" s="248"/>
    </row>
  </sheetData>
  <conditionalFormatting sqref="C5:C6 C8:C11 C13 C15 C17:C19 C21:C23 C25:C26 C28:C30 C32:C34">
    <cfRule type="containsBlanks" dxfId="7" priority="7">
      <formula>LEN(TRIM(C5))=0</formula>
    </cfRule>
  </conditionalFormatting>
  <conditionalFormatting sqref="C3">
    <cfRule type="containsBlanks" dxfId="5" priority="1">
      <formula>LEN(TRIM(C3))=0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timePeriod" priority="6" timePeriod="today" id="{C8108B9E-A682-4CE4-BDA3-52AE377CAD53}">
            <xm:f>FLOOR(extramuros!O1,1)=TODAY()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N1 N36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E106"/>
  <sheetViews>
    <sheetView zoomScale="110" zoomScaleNormal="110" zoomScalePageLayoutView="184" workbookViewId="0">
      <selection activeCell="F22" sqref="F22"/>
    </sheetView>
  </sheetViews>
  <sheetFormatPr defaultColWidth="8.77734375" defaultRowHeight="13.2" x14ac:dyDescent="0.25"/>
  <cols>
    <col min="1" max="1" width="1.77734375" style="247" customWidth="1"/>
    <col min="2" max="2" width="2.33203125" customWidth="1"/>
    <col min="3" max="3" width="16" bestFit="1" customWidth="1"/>
    <col min="4" max="4" width="14.88671875" bestFit="1" customWidth="1"/>
    <col min="5" max="5" width="9" bestFit="1" customWidth="1"/>
    <col min="6" max="6" width="66" bestFit="1" customWidth="1"/>
    <col min="7" max="7" width="15.5546875" style="56" bestFit="1" customWidth="1"/>
    <col min="8" max="8" width="12.33203125" style="53" bestFit="1" customWidth="1"/>
    <col min="9" max="9" width="12.33203125" style="58" bestFit="1" customWidth="1"/>
    <col min="10" max="10" width="3" customWidth="1"/>
    <col min="11" max="11" width="1.77734375" style="247" customWidth="1"/>
    <col min="12" max="12" width="3" style="1" customWidth="1"/>
    <col min="13" max="13" width="28.6640625" bestFit="1" customWidth="1"/>
    <col min="14" max="14" width="16.5546875" bestFit="1" customWidth="1"/>
    <col min="15" max="15" width="11.5546875" bestFit="1" customWidth="1"/>
    <col min="16" max="16" width="12.109375" style="59" bestFit="1" customWidth="1"/>
    <col min="17" max="17" width="3.21875" customWidth="1"/>
    <col min="18" max="18" width="1.77734375" style="247" customWidth="1"/>
  </cols>
  <sheetData>
    <row r="1" spans="1:31" s="247" customFormat="1" ht="9" customHeight="1" x14ac:dyDescent="0.25">
      <c r="A1" s="245"/>
      <c r="B1" s="245"/>
      <c r="C1" s="245"/>
      <c r="D1" s="245"/>
      <c r="E1" s="245"/>
      <c r="F1" s="245"/>
      <c r="G1" s="245"/>
      <c r="H1" s="245"/>
      <c r="I1" s="245"/>
      <c r="J1" s="245"/>
      <c r="K1" s="245"/>
      <c r="L1" s="256"/>
      <c r="N1" s="257"/>
      <c r="O1" s="257"/>
      <c r="Q1" s="258"/>
      <c r="R1" s="248"/>
      <c r="S1" s="249"/>
      <c r="T1" s="249"/>
      <c r="U1" s="249"/>
      <c r="V1" s="249"/>
      <c r="X1" s="249"/>
      <c r="Y1" s="249"/>
      <c r="Z1" s="249"/>
      <c r="AA1" s="249"/>
      <c r="AB1" s="249"/>
      <c r="AC1" s="249"/>
      <c r="AD1" s="249"/>
      <c r="AE1" s="249"/>
    </row>
    <row r="2" spans="1:31" s="1" customFormat="1" ht="15" x14ac:dyDescent="0.25">
      <c r="A2" s="245"/>
      <c r="B2" s="315" t="s">
        <v>211</v>
      </c>
      <c r="C2" s="90" t="s">
        <v>129</v>
      </c>
      <c r="D2" s="81"/>
      <c r="E2" s="81"/>
      <c r="F2" s="81"/>
      <c r="G2" s="95"/>
      <c r="H2" s="96"/>
      <c r="I2" s="97"/>
      <c r="J2" s="81"/>
      <c r="K2" s="245"/>
      <c r="L2" s="81"/>
      <c r="P2" s="59"/>
      <c r="R2" s="248"/>
    </row>
    <row r="3" spans="1:31" s="1" customFormat="1" ht="14.4" x14ac:dyDescent="0.25">
      <c r="A3" s="245"/>
      <c r="B3" s="91"/>
      <c r="C3" s="81"/>
      <c r="D3" s="81"/>
      <c r="E3" s="81"/>
      <c r="F3" s="81"/>
      <c r="G3" s="95"/>
      <c r="H3" s="96"/>
      <c r="I3" s="97"/>
      <c r="J3" s="81"/>
      <c r="K3" s="245"/>
      <c r="L3" s="81"/>
      <c r="P3" s="59"/>
      <c r="R3" s="248"/>
    </row>
    <row r="4" spans="1:31" s="1" customFormat="1" ht="25.2" x14ac:dyDescent="0.25">
      <c r="A4" s="245"/>
      <c r="B4" s="91"/>
      <c r="C4" s="49" t="s">
        <v>131</v>
      </c>
      <c r="D4" s="49" t="s">
        <v>0</v>
      </c>
      <c r="E4" s="49" t="s">
        <v>1</v>
      </c>
      <c r="F4" s="50" t="s">
        <v>2</v>
      </c>
      <c r="G4" s="57" t="s">
        <v>132</v>
      </c>
      <c r="H4" s="54" t="s">
        <v>3</v>
      </c>
      <c r="I4" s="57" t="s">
        <v>133</v>
      </c>
      <c r="J4" s="81"/>
      <c r="K4" s="245"/>
      <c r="L4" s="81"/>
      <c r="P4" s="59"/>
      <c r="R4" s="248"/>
    </row>
    <row r="5" spans="1:31" ht="12" customHeight="1" x14ac:dyDescent="0.25">
      <c r="A5" s="245"/>
      <c r="B5" s="91"/>
      <c r="C5" s="106"/>
      <c r="D5" s="107"/>
      <c r="E5" s="106"/>
      <c r="F5" s="108"/>
      <c r="G5" s="109"/>
      <c r="H5" s="55">
        <v>1</v>
      </c>
      <c r="I5" s="243">
        <f>H5*G5</f>
        <v>0</v>
      </c>
      <c r="J5" s="81"/>
      <c r="K5" s="245"/>
      <c r="L5" s="81"/>
      <c r="R5" s="248"/>
    </row>
    <row r="6" spans="1:31" ht="14.4" x14ac:dyDescent="0.25">
      <c r="A6" s="245"/>
      <c r="B6" s="91"/>
      <c r="C6" s="106"/>
      <c r="D6" s="107"/>
      <c r="E6" s="106"/>
      <c r="F6" s="108"/>
      <c r="G6" s="109"/>
      <c r="H6" s="55">
        <v>1</v>
      </c>
      <c r="I6" s="243">
        <f t="shared" ref="I6:I8" si="0">H6*G6</f>
        <v>0</v>
      </c>
      <c r="J6" s="81"/>
      <c r="K6" s="245"/>
      <c r="L6" s="81"/>
      <c r="R6" s="248"/>
    </row>
    <row r="7" spans="1:31" ht="14.4" x14ac:dyDescent="0.25">
      <c r="A7" s="245"/>
      <c r="B7" s="91"/>
      <c r="C7" s="106"/>
      <c r="D7" s="107"/>
      <c r="E7" s="106"/>
      <c r="F7" s="108"/>
      <c r="G7" s="109"/>
      <c r="H7" s="55">
        <v>1</v>
      </c>
      <c r="I7" s="243">
        <f t="shared" si="0"/>
        <v>0</v>
      </c>
      <c r="J7" s="81"/>
      <c r="K7" s="245"/>
      <c r="L7" s="81"/>
      <c r="R7" s="248"/>
    </row>
    <row r="8" spans="1:31" ht="14.4" x14ac:dyDescent="0.25">
      <c r="A8" s="245"/>
      <c r="B8" s="100"/>
      <c r="C8" s="106"/>
      <c r="D8" s="107"/>
      <c r="E8" s="106"/>
      <c r="F8" s="108"/>
      <c r="G8" s="109"/>
      <c r="H8" s="55">
        <v>1</v>
      </c>
      <c r="I8" s="243">
        <f t="shared" si="0"/>
        <v>0</v>
      </c>
      <c r="J8" s="81"/>
      <c r="K8" s="245"/>
      <c r="L8" s="81"/>
      <c r="R8" s="248"/>
    </row>
    <row r="9" spans="1:31" s="1" customFormat="1" ht="14.4" x14ac:dyDescent="0.25">
      <c r="A9" s="245"/>
      <c r="B9" s="91"/>
      <c r="C9" s="92"/>
      <c r="D9" s="93"/>
      <c r="E9" s="92"/>
      <c r="F9" s="94"/>
      <c r="G9" s="261" t="s">
        <v>159</v>
      </c>
      <c r="H9" s="261"/>
      <c r="I9" s="244">
        <f>SUM(I5:I8)</f>
        <v>0</v>
      </c>
      <c r="J9" s="81"/>
      <c r="K9" s="245"/>
      <c r="L9" s="81"/>
      <c r="P9" s="59"/>
      <c r="R9" s="248"/>
    </row>
    <row r="10" spans="1:31" ht="14.4" x14ac:dyDescent="0.25">
      <c r="A10" s="245"/>
      <c r="B10" s="91"/>
      <c r="C10" s="81"/>
      <c r="D10" s="81"/>
      <c r="E10" s="81"/>
      <c r="F10" s="81"/>
      <c r="G10" s="95"/>
      <c r="H10" s="96"/>
      <c r="I10" s="97"/>
      <c r="J10" s="81"/>
      <c r="K10" s="245"/>
      <c r="L10" s="81"/>
      <c r="M10" s="1"/>
      <c r="R10" s="248"/>
    </row>
    <row r="11" spans="1:31" ht="15" x14ac:dyDescent="0.25">
      <c r="A11" s="245"/>
      <c r="B11" s="91"/>
      <c r="C11" s="81"/>
      <c r="D11" s="81"/>
      <c r="E11" s="81"/>
      <c r="F11" s="81"/>
      <c r="G11" s="98" t="s">
        <v>134</v>
      </c>
      <c r="H11" s="99"/>
      <c r="I11" s="171"/>
      <c r="J11" s="81"/>
      <c r="K11" s="245"/>
      <c r="L11" s="81"/>
      <c r="R11" s="248"/>
    </row>
    <row r="12" spans="1:31" ht="11.4" customHeight="1" x14ac:dyDescent="0.25">
      <c r="A12" s="245"/>
      <c r="B12" s="91"/>
      <c r="C12" s="81"/>
      <c r="D12" s="81"/>
      <c r="E12" s="81"/>
      <c r="F12" s="81"/>
      <c r="G12" s="95"/>
      <c r="H12" s="96"/>
      <c r="I12" s="97"/>
      <c r="J12" s="104" t="s">
        <v>211</v>
      </c>
      <c r="K12" s="245"/>
      <c r="L12" s="81"/>
      <c r="M12" s="83"/>
      <c r="N12" s="83"/>
      <c r="O12" s="81"/>
      <c r="P12" s="101"/>
      <c r="Q12" s="85"/>
      <c r="R12" s="248"/>
    </row>
    <row r="13" spans="1:31" s="247" customFormat="1" ht="9" customHeight="1" x14ac:dyDescent="0.25">
      <c r="A13" s="245"/>
      <c r="B13" s="245"/>
      <c r="C13" s="245"/>
      <c r="D13" s="245"/>
      <c r="E13" s="245"/>
      <c r="F13" s="245"/>
      <c r="G13" s="245"/>
      <c r="H13" s="245"/>
      <c r="I13" s="245"/>
      <c r="J13" s="245"/>
      <c r="K13" s="245"/>
      <c r="L13" s="245"/>
      <c r="M13" s="245"/>
      <c r="N13" s="245"/>
      <c r="O13" s="245"/>
      <c r="P13" s="245"/>
      <c r="Q13" s="245"/>
      <c r="R13" s="245"/>
      <c r="S13" s="249"/>
      <c r="T13" s="249"/>
      <c r="U13" s="249"/>
      <c r="V13" s="249"/>
      <c r="X13" s="249"/>
      <c r="Y13" s="249"/>
      <c r="Z13" s="249"/>
      <c r="AA13" s="249"/>
      <c r="AB13" s="249"/>
      <c r="AC13" s="249"/>
      <c r="AD13" s="249"/>
      <c r="AE13" s="249"/>
    </row>
    <row r="14" spans="1:31" ht="15.6" customHeight="1" x14ac:dyDescent="0.25">
      <c r="A14" s="248"/>
      <c r="B14" s="12"/>
      <c r="J14" s="81"/>
      <c r="K14" s="245"/>
      <c r="L14" s="315" t="s">
        <v>211</v>
      </c>
      <c r="M14" s="90" t="s">
        <v>135</v>
      </c>
      <c r="N14" s="84"/>
      <c r="O14" s="84"/>
      <c r="P14" s="102"/>
      <c r="Q14" s="85"/>
      <c r="R14" s="245"/>
    </row>
    <row r="15" spans="1:31" ht="11.4" customHeight="1" x14ac:dyDescent="0.25">
      <c r="A15" s="248"/>
      <c r="B15" s="12"/>
      <c r="J15" s="81"/>
      <c r="K15" s="245"/>
      <c r="L15" s="81"/>
      <c r="M15" s="86"/>
      <c r="N15" s="86"/>
      <c r="O15" s="86"/>
      <c r="P15" s="103"/>
      <c r="Q15" s="85"/>
      <c r="R15" s="245"/>
    </row>
    <row r="16" spans="1:31" ht="21" x14ac:dyDescent="0.25">
      <c r="A16" s="248"/>
      <c r="B16" s="12"/>
      <c r="J16" s="81"/>
      <c r="K16" s="245"/>
      <c r="L16" s="81"/>
      <c r="M16" s="47" t="s">
        <v>131</v>
      </c>
      <c r="N16" s="47" t="s">
        <v>136</v>
      </c>
      <c r="O16" s="47" t="s">
        <v>137</v>
      </c>
      <c r="P16" s="60" t="s">
        <v>138</v>
      </c>
      <c r="Q16" s="85"/>
      <c r="R16" s="245"/>
    </row>
    <row r="17" spans="1:31" s="1" customFormat="1" ht="14.4" customHeight="1" x14ac:dyDescent="0.25">
      <c r="A17" s="248"/>
      <c r="B17" s="12"/>
      <c r="G17" s="56"/>
      <c r="H17" s="53"/>
      <c r="I17" s="58"/>
      <c r="J17" s="81"/>
      <c r="K17" s="245"/>
      <c r="L17" s="81"/>
      <c r="M17" s="106"/>
      <c r="N17" s="106"/>
      <c r="O17" s="111"/>
      <c r="P17" s="110"/>
      <c r="Q17" s="85"/>
      <c r="R17" s="245"/>
    </row>
    <row r="18" spans="1:31" ht="14.4" customHeight="1" x14ac:dyDescent="0.25">
      <c r="A18" s="248"/>
      <c r="B18" s="12"/>
      <c r="J18" s="81"/>
      <c r="K18" s="245"/>
      <c r="L18" s="81"/>
      <c r="M18" s="106"/>
      <c r="N18" s="106"/>
      <c r="O18" s="111"/>
      <c r="P18" s="110"/>
      <c r="Q18" s="85"/>
      <c r="R18" s="245"/>
    </row>
    <row r="19" spans="1:31" ht="14.4" x14ac:dyDescent="0.25">
      <c r="A19" s="248"/>
      <c r="B19" s="12"/>
      <c r="C19" s="1"/>
      <c r="D19" s="1"/>
      <c r="E19" s="1"/>
      <c r="F19" s="1"/>
      <c r="J19" s="1"/>
      <c r="K19" s="245"/>
      <c r="L19" s="81"/>
      <c r="M19" s="81"/>
      <c r="N19" s="81"/>
      <c r="O19" s="81"/>
      <c r="P19" s="101"/>
      <c r="Q19" s="104" t="s">
        <v>211</v>
      </c>
      <c r="R19" s="245"/>
    </row>
    <row r="20" spans="1:31" s="247" customFormat="1" ht="9" customHeight="1" x14ac:dyDescent="0.25">
      <c r="A20" s="248"/>
      <c r="B20" s="250"/>
      <c r="C20" s="251"/>
      <c r="D20" s="251"/>
      <c r="E20" s="251"/>
      <c r="F20" s="251"/>
      <c r="G20" s="252"/>
      <c r="H20" s="253"/>
      <c r="I20" s="254"/>
      <c r="J20" s="251"/>
      <c r="K20" s="245"/>
      <c r="L20" s="245"/>
      <c r="M20" s="245"/>
      <c r="N20" s="245"/>
      <c r="O20" s="245"/>
      <c r="P20" s="245"/>
      <c r="Q20" s="245"/>
      <c r="R20" s="245"/>
      <c r="S20" s="249"/>
      <c r="T20" s="249"/>
      <c r="U20" s="249"/>
      <c r="V20" s="249"/>
      <c r="X20" s="249"/>
      <c r="Y20" s="249"/>
      <c r="Z20" s="249"/>
      <c r="AA20" s="249"/>
      <c r="AB20" s="249"/>
      <c r="AC20" s="249"/>
      <c r="AD20" s="249"/>
      <c r="AE20" s="249"/>
    </row>
    <row r="21" spans="1:31" ht="14.4" x14ac:dyDescent="0.25">
      <c r="A21" s="248"/>
      <c r="B21" s="12"/>
      <c r="C21" s="1"/>
      <c r="D21" s="1"/>
      <c r="E21" s="1"/>
      <c r="F21" s="1"/>
      <c r="J21" s="1"/>
      <c r="K21" s="248"/>
      <c r="R21" s="248"/>
    </row>
    <row r="22" spans="1:31" ht="14.4" x14ac:dyDescent="0.25">
      <c r="A22" s="248"/>
      <c r="B22" s="12"/>
      <c r="K22" s="248"/>
      <c r="R22" s="248"/>
    </row>
    <row r="23" spans="1:31" ht="14.4" x14ac:dyDescent="0.25">
      <c r="A23" s="248"/>
      <c r="B23" s="12"/>
      <c r="K23" s="248"/>
      <c r="R23" s="248"/>
    </row>
    <row r="24" spans="1:31" ht="14.4" x14ac:dyDescent="0.25">
      <c r="A24" s="248"/>
      <c r="B24" s="12"/>
      <c r="K24" s="248"/>
      <c r="R24" s="248"/>
    </row>
    <row r="25" spans="1:31" ht="14.4" x14ac:dyDescent="0.25">
      <c r="A25" s="248"/>
      <c r="B25" s="12"/>
      <c r="K25" s="248"/>
      <c r="R25" s="248"/>
    </row>
    <row r="26" spans="1:31" ht="14.4" x14ac:dyDescent="0.25">
      <c r="A26" s="248"/>
      <c r="B26" s="12"/>
      <c r="K26" s="248"/>
      <c r="R26" s="248"/>
    </row>
    <row r="27" spans="1:31" ht="14.4" x14ac:dyDescent="0.25">
      <c r="A27" s="248"/>
      <c r="B27" s="12"/>
      <c r="K27" s="248"/>
      <c r="R27" s="248"/>
    </row>
    <row r="28" spans="1:31" ht="14.4" x14ac:dyDescent="0.25">
      <c r="A28" s="248"/>
      <c r="B28" s="12"/>
      <c r="K28" s="248"/>
      <c r="R28" s="248"/>
    </row>
    <row r="29" spans="1:31" ht="14.4" x14ac:dyDescent="0.25">
      <c r="A29" s="248"/>
      <c r="B29" s="12"/>
      <c r="K29" s="248"/>
      <c r="R29" s="248"/>
    </row>
    <row r="30" spans="1:31" ht="14.4" x14ac:dyDescent="0.25">
      <c r="A30" s="248"/>
      <c r="B30" s="12"/>
      <c r="K30" s="248"/>
      <c r="R30" s="248"/>
    </row>
    <row r="31" spans="1:31" ht="14.4" x14ac:dyDescent="0.25">
      <c r="A31" s="248"/>
      <c r="B31" s="12"/>
      <c r="K31" s="248"/>
      <c r="R31" s="248"/>
    </row>
    <row r="32" spans="1:31" ht="14.4" x14ac:dyDescent="0.25">
      <c r="A32" s="248"/>
      <c r="B32" s="12"/>
      <c r="K32" s="248"/>
      <c r="R32" s="248"/>
    </row>
    <row r="33" spans="1:18" ht="14.4" x14ac:dyDescent="0.25">
      <c r="A33" s="248"/>
      <c r="B33" s="12"/>
      <c r="K33" s="248"/>
      <c r="R33" s="248"/>
    </row>
    <row r="34" spans="1:18" ht="14.4" x14ac:dyDescent="0.25">
      <c r="A34" s="248"/>
      <c r="B34" s="12"/>
      <c r="K34" s="248"/>
      <c r="R34" s="248"/>
    </row>
    <row r="35" spans="1:18" ht="14.4" x14ac:dyDescent="0.25">
      <c r="A35" s="248"/>
      <c r="B35" s="12"/>
      <c r="K35" s="248"/>
      <c r="R35" s="248"/>
    </row>
    <row r="36" spans="1:18" ht="14.4" x14ac:dyDescent="0.25">
      <c r="A36" s="248"/>
      <c r="B36" s="12"/>
      <c r="K36" s="248"/>
      <c r="R36" s="248"/>
    </row>
    <row r="37" spans="1:18" ht="14.4" x14ac:dyDescent="0.25">
      <c r="A37" s="248"/>
      <c r="B37" s="12"/>
      <c r="K37" s="248"/>
      <c r="R37" s="248"/>
    </row>
    <row r="38" spans="1:18" ht="14.4" x14ac:dyDescent="0.25">
      <c r="A38" s="248"/>
      <c r="B38" s="12"/>
      <c r="K38" s="248"/>
      <c r="R38" s="248"/>
    </row>
    <row r="39" spans="1:18" ht="14.4" x14ac:dyDescent="0.25">
      <c r="A39" s="248"/>
      <c r="B39" s="12"/>
      <c r="K39" s="248"/>
      <c r="R39" s="248"/>
    </row>
    <row r="40" spans="1:18" ht="14.4" x14ac:dyDescent="0.25">
      <c r="A40" s="248"/>
      <c r="B40" s="12"/>
      <c r="K40" s="248"/>
      <c r="R40" s="248"/>
    </row>
    <row r="41" spans="1:18" ht="14.4" x14ac:dyDescent="0.25">
      <c r="A41" s="248"/>
      <c r="B41" s="12"/>
      <c r="K41" s="248"/>
      <c r="R41" s="248"/>
    </row>
    <row r="42" spans="1:18" ht="14.4" x14ac:dyDescent="0.25">
      <c r="A42" s="248"/>
      <c r="B42" s="12"/>
      <c r="K42" s="248"/>
      <c r="R42" s="248"/>
    </row>
    <row r="43" spans="1:18" ht="14.4" x14ac:dyDescent="0.25">
      <c r="A43" s="248"/>
      <c r="B43" s="12"/>
      <c r="K43" s="248"/>
      <c r="R43" s="248"/>
    </row>
    <row r="44" spans="1:18" ht="14.4" x14ac:dyDescent="0.25">
      <c r="A44" s="248"/>
      <c r="B44" s="12"/>
      <c r="K44" s="248"/>
      <c r="R44" s="248"/>
    </row>
    <row r="45" spans="1:18" ht="14.4" x14ac:dyDescent="0.25">
      <c r="A45" s="248"/>
      <c r="B45" s="12"/>
      <c r="K45" s="248"/>
      <c r="R45" s="248"/>
    </row>
    <row r="46" spans="1:18" ht="14.4" x14ac:dyDescent="0.25">
      <c r="A46" s="248"/>
      <c r="B46" s="12"/>
      <c r="K46" s="248"/>
      <c r="R46" s="248"/>
    </row>
    <row r="47" spans="1:18" ht="14.4" x14ac:dyDescent="0.25">
      <c r="A47" s="248"/>
      <c r="B47" s="12"/>
      <c r="K47" s="248"/>
      <c r="R47" s="248"/>
    </row>
    <row r="48" spans="1:18" ht="14.4" x14ac:dyDescent="0.25">
      <c r="A48" s="248"/>
      <c r="B48" s="12"/>
      <c r="K48" s="248"/>
      <c r="R48" s="248"/>
    </row>
    <row r="49" spans="1:18" ht="14.4" x14ac:dyDescent="0.25">
      <c r="A49" s="248"/>
      <c r="B49" s="12"/>
      <c r="K49" s="248"/>
      <c r="R49" s="248"/>
    </row>
    <row r="50" spans="1:18" ht="14.4" x14ac:dyDescent="0.25">
      <c r="A50" s="248"/>
      <c r="B50" s="12"/>
      <c r="K50" s="248"/>
      <c r="R50" s="248"/>
    </row>
    <row r="51" spans="1:18" ht="14.4" x14ac:dyDescent="0.25">
      <c r="A51" s="248"/>
      <c r="B51" s="12"/>
      <c r="K51" s="248"/>
      <c r="R51" s="248"/>
    </row>
    <row r="52" spans="1:18" ht="14.4" x14ac:dyDescent="0.25">
      <c r="A52" s="248"/>
      <c r="B52" s="12"/>
      <c r="K52" s="248"/>
      <c r="R52" s="248"/>
    </row>
    <row r="53" spans="1:18" ht="14.4" x14ac:dyDescent="0.25">
      <c r="A53" s="248"/>
      <c r="B53" s="12"/>
      <c r="K53" s="248"/>
      <c r="R53" s="248"/>
    </row>
    <row r="54" spans="1:18" ht="14.4" x14ac:dyDescent="0.25">
      <c r="A54" s="248"/>
      <c r="B54" s="12"/>
      <c r="K54" s="248"/>
      <c r="R54" s="248"/>
    </row>
    <row r="55" spans="1:18" ht="14.4" x14ac:dyDescent="0.25">
      <c r="A55" s="248"/>
      <c r="B55" s="12"/>
      <c r="K55" s="248"/>
      <c r="R55" s="248"/>
    </row>
    <row r="56" spans="1:18" ht="14.4" x14ac:dyDescent="0.25">
      <c r="A56" s="248"/>
      <c r="B56" s="12"/>
      <c r="K56" s="248"/>
      <c r="R56" s="248"/>
    </row>
    <row r="57" spans="1:18" ht="14.4" x14ac:dyDescent="0.25">
      <c r="A57" s="248"/>
      <c r="B57" s="12"/>
      <c r="K57" s="248"/>
      <c r="R57" s="248"/>
    </row>
    <row r="58" spans="1:18" ht="14.4" x14ac:dyDescent="0.25">
      <c r="A58" s="248"/>
      <c r="B58" s="12"/>
      <c r="K58" s="248"/>
      <c r="R58" s="248"/>
    </row>
    <row r="59" spans="1:18" ht="14.4" x14ac:dyDescent="0.25">
      <c r="A59" s="248"/>
      <c r="B59" s="12"/>
      <c r="K59" s="248"/>
      <c r="R59" s="248"/>
    </row>
    <row r="60" spans="1:18" ht="14.4" x14ac:dyDescent="0.25">
      <c r="A60" s="248"/>
      <c r="B60" s="12"/>
      <c r="K60" s="248"/>
      <c r="R60" s="248"/>
    </row>
    <row r="61" spans="1:18" ht="14.4" x14ac:dyDescent="0.25">
      <c r="A61" s="248"/>
      <c r="B61" s="12"/>
      <c r="K61" s="248"/>
      <c r="R61" s="248"/>
    </row>
    <row r="62" spans="1:18" ht="14.4" x14ac:dyDescent="0.25">
      <c r="A62" s="248"/>
      <c r="B62" s="12"/>
      <c r="K62" s="248"/>
      <c r="R62" s="248"/>
    </row>
    <row r="63" spans="1:18" ht="14.4" x14ac:dyDescent="0.25">
      <c r="A63" s="248"/>
      <c r="B63" s="12"/>
      <c r="K63" s="248"/>
      <c r="R63" s="248"/>
    </row>
    <row r="64" spans="1:18" ht="14.4" x14ac:dyDescent="0.25">
      <c r="A64" s="248"/>
      <c r="B64" s="12"/>
      <c r="K64" s="248"/>
      <c r="R64" s="248"/>
    </row>
    <row r="65" spans="1:18" ht="14.4" x14ac:dyDescent="0.25">
      <c r="A65" s="248"/>
      <c r="B65" s="12"/>
      <c r="K65" s="248"/>
      <c r="R65" s="248"/>
    </row>
    <row r="66" spans="1:18" ht="14.4" x14ac:dyDescent="0.25">
      <c r="A66" s="248"/>
      <c r="B66" s="12"/>
      <c r="K66" s="248"/>
      <c r="R66" s="248"/>
    </row>
    <row r="67" spans="1:18" ht="14.4" x14ac:dyDescent="0.25">
      <c r="A67" s="248"/>
      <c r="B67" s="12"/>
      <c r="K67" s="248"/>
      <c r="R67" s="248"/>
    </row>
    <row r="68" spans="1:18" ht="14.4" x14ac:dyDescent="0.25">
      <c r="A68" s="248"/>
      <c r="B68" s="12"/>
      <c r="K68" s="248"/>
      <c r="R68" s="248"/>
    </row>
    <row r="69" spans="1:18" ht="14.4" x14ac:dyDescent="0.25">
      <c r="A69" s="248"/>
      <c r="B69" s="12"/>
      <c r="K69" s="248"/>
      <c r="R69" s="248"/>
    </row>
    <row r="70" spans="1:18" ht="14.4" x14ac:dyDescent="0.25">
      <c r="A70" s="248"/>
      <c r="B70" s="12"/>
      <c r="K70" s="248"/>
      <c r="R70" s="248"/>
    </row>
    <row r="71" spans="1:18" ht="14.4" x14ac:dyDescent="0.25">
      <c r="A71" s="248"/>
      <c r="B71" s="12"/>
      <c r="K71" s="248"/>
      <c r="R71" s="248"/>
    </row>
    <row r="72" spans="1:18" ht="14.4" x14ac:dyDescent="0.25">
      <c r="A72" s="248"/>
      <c r="B72" s="12"/>
      <c r="K72" s="248"/>
      <c r="R72" s="248"/>
    </row>
    <row r="73" spans="1:18" ht="14.4" x14ac:dyDescent="0.25">
      <c r="A73" s="248"/>
      <c r="B73" s="12"/>
      <c r="K73" s="248"/>
      <c r="R73" s="248"/>
    </row>
    <row r="74" spans="1:18" ht="14.4" x14ac:dyDescent="0.25">
      <c r="A74" s="248"/>
      <c r="B74" s="12"/>
      <c r="K74" s="248"/>
      <c r="R74" s="248"/>
    </row>
    <row r="75" spans="1:18" ht="14.4" x14ac:dyDescent="0.25">
      <c r="A75" s="248"/>
      <c r="B75" s="12"/>
      <c r="K75" s="248"/>
      <c r="R75" s="248"/>
    </row>
    <row r="76" spans="1:18" ht="14.4" x14ac:dyDescent="0.25">
      <c r="A76" s="248"/>
      <c r="B76" s="12"/>
      <c r="K76" s="248"/>
      <c r="R76" s="248"/>
    </row>
    <row r="77" spans="1:18" ht="14.4" x14ac:dyDescent="0.25">
      <c r="A77" s="248"/>
      <c r="B77" s="12"/>
      <c r="K77" s="248"/>
      <c r="R77" s="248"/>
    </row>
    <row r="78" spans="1:18" ht="14.4" x14ac:dyDescent="0.25">
      <c r="A78" s="248"/>
      <c r="B78" s="12"/>
      <c r="K78" s="248"/>
      <c r="R78" s="248"/>
    </row>
    <row r="79" spans="1:18" ht="14.4" x14ac:dyDescent="0.25">
      <c r="A79" s="248"/>
      <c r="B79" s="12"/>
      <c r="K79" s="248"/>
      <c r="R79" s="248"/>
    </row>
    <row r="80" spans="1:18" ht="14.4" x14ac:dyDescent="0.25">
      <c r="A80" s="248"/>
      <c r="B80" s="12"/>
      <c r="K80" s="248"/>
      <c r="R80" s="248"/>
    </row>
    <row r="81" spans="1:18" ht="14.4" x14ac:dyDescent="0.25">
      <c r="A81" s="248"/>
      <c r="B81" s="12"/>
      <c r="K81" s="248"/>
      <c r="R81" s="248"/>
    </row>
    <row r="82" spans="1:18" ht="14.4" x14ac:dyDescent="0.25">
      <c r="A82" s="248"/>
      <c r="B82" s="12"/>
      <c r="K82" s="248"/>
      <c r="R82" s="248"/>
    </row>
    <row r="83" spans="1:18" ht="14.4" x14ac:dyDescent="0.25">
      <c r="A83" s="248"/>
      <c r="B83" s="12"/>
      <c r="K83" s="248"/>
      <c r="R83" s="248"/>
    </row>
    <row r="84" spans="1:18" ht="14.4" x14ac:dyDescent="0.25">
      <c r="A84" s="248"/>
      <c r="B84" s="12"/>
      <c r="K84" s="248"/>
      <c r="R84" s="248"/>
    </row>
    <row r="85" spans="1:18" ht="14.4" x14ac:dyDescent="0.25">
      <c r="A85" s="248"/>
      <c r="B85" s="12"/>
      <c r="K85" s="248"/>
      <c r="R85" s="248"/>
    </row>
    <row r="86" spans="1:18" ht="14.4" x14ac:dyDescent="0.25">
      <c r="A86" s="248"/>
      <c r="B86" s="12"/>
      <c r="K86" s="248"/>
      <c r="R86" s="248"/>
    </row>
    <row r="87" spans="1:18" ht="14.4" x14ac:dyDescent="0.25">
      <c r="A87" s="248"/>
      <c r="B87" s="12"/>
      <c r="K87" s="248"/>
      <c r="R87" s="248"/>
    </row>
    <row r="88" spans="1:18" ht="14.4" x14ac:dyDescent="0.25">
      <c r="A88" s="248"/>
      <c r="B88" s="12"/>
      <c r="K88" s="248"/>
      <c r="R88" s="248"/>
    </row>
    <row r="89" spans="1:18" ht="14.4" x14ac:dyDescent="0.25">
      <c r="A89" s="248"/>
      <c r="B89" s="12"/>
      <c r="K89" s="248"/>
      <c r="R89" s="248"/>
    </row>
    <row r="90" spans="1:18" ht="14.4" x14ac:dyDescent="0.25">
      <c r="A90" s="248"/>
      <c r="B90" s="12"/>
      <c r="K90" s="248"/>
      <c r="R90" s="248"/>
    </row>
    <row r="91" spans="1:18" ht="14.4" x14ac:dyDescent="0.25">
      <c r="A91" s="248"/>
      <c r="B91" s="12"/>
      <c r="K91" s="248"/>
      <c r="R91" s="248"/>
    </row>
    <row r="92" spans="1:18" ht="14.4" x14ac:dyDescent="0.25">
      <c r="A92" s="248"/>
      <c r="B92" s="12"/>
      <c r="K92" s="248"/>
      <c r="R92" s="248"/>
    </row>
    <row r="93" spans="1:18" ht="14.4" x14ac:dyDescent="0.25">
      <c r="A93" s="248"/>
      <c r="B93" s="12"/>
      <c r="K93" s="248"/>
      <c r="R93" s="248"/>
    </row>
    <row r="94" spans="1:18" ht="14.4" x14ac:dyDescent="0.25">
      <c r="A94" s="248"/>
      <c r="B94" s="12"/>
      <c r="K94" s="248"/>
      <c r="R94" s="248"/>
    </row>
    <row r="95" spans="1:18" ht="14.4" x14ac:dyDescent="0.25">
      <c r="A95" s="248"/>
      <c r="B95" s="12"/>
      <c r="K95" s="248"/>
      <c r="R95" s="248"/>
    </row>
    <row r="96" spans="1:18" ht="14.4" x14ac:dyDescent="0.25">
      <c r="A96" s="248"/>
      <c r="K96" s="248"/>
      <c r="R96" s="248"/>
    </row>
    <row r="97" spans="1:18" ht="14.4" x14ac:dyDescent="0.25">
      <c r="A97" s="248"/>
      <c r="K97" s="248"/>
      <c r="R97" s="248"/>
    </row>
    <row r="98" spans="1:18" ht="14.4" x14ac:dyDescent="0.25">
      <c r="A98" s="248"/>
      <c r="K98" s="248"/>
      <c r="R98" s="248"/>
    </row>
    <row r="99" spans="1:18" ht="14.4" x14ac:dyDescent="0.25">
      <c r="A99" s="248"/>
      <c r="K99" s="248"/>
      <c r="R99" s="248"/>
    </row>
    <row r="100" spans="1:18" ht="14.4" x14ac:dyDescent="0.25">
      <c r="A100" s="248"/>
      <c r="K100" s="248"/>
      <c r="R100" s="248"/>
    </row>
    <row r="101" spans="1:18" ht="14.4" x14ac:dyDescent="0.25">
      <c r="A101" s="248"/>
      <c r="K101" s="248"/>
      <c r="R101" s="248"/>
    </row>
    <row r="102" spans="1:18" ht="14.4" x14ac:dyDescent="0.25">
      <c r="A102" s="248"/>
      <c r="K102" s="248"/>
      <c r="R102" s="248"/>
    </row>
    <row r="103" spans="1:18" ht="14.4" x14ac:dyDescent="0.25">
      <c r="A103" s="248"/>
      <c r="K103" s="248"/>
      <c r="R103" s="248"/>
    </row>
    <row r="104" spans="1:18" ht="14.4" x14ac:dyDescent="0.25">
      <c r="A104" s="248"/>
      <c r="K104" s="248"/>
      <c r="R104" s="248"/>
    </row>
    <row r="105" spans="1:18" ht="14.4" x14ac:dyDescent="0.25">
      <c r="A105" s="248"/>
      <c r="K105" s="248"/>
      <c r="R105" s="248"/>
    </row>
    <row r="106" spans="1:18" ht="14.4" x14ac:dyDescent="0.25">
      <c r="A106" s="248"/>
      <c r="K106" s="248"/>
      <c r="R106" s="248"/>
    </row>
  </sheetData>
  <mergeCells count="1">
    <mergeCell ref="G9:H9"/>
  </mergeCells>
  <conditionalFormatting sqref="C5:H8 I11 M17:P18">
    <cfRule type="containsBlanks" dxfId="4" priority="4">
      <formula>LEN(TRIM(C5))=0</formula>
    </cfRule>
  </conditionalFormatting>
  <conditionalFormatting sqref="O1">
    <cfRule type="timePeriod" dxfId="3" priority="1" timePeriod="today">
      <formula>FLOOR(O1,1)=TODAY()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6" r:id="rId4" name="Button 40">
              <controlPr defaultSize="0" print="0" autoFill="0" autoPict="0" macro="[0]!SelectAndSave_extramuros">
                <anchor moveWithCells="1" sizeWithCells="1">
                  <from>
                    <xdr:col>5</xdr:col>
                    <xdr:colOff>708660</xdr:colOff>
                    <xdr:row>16</xdr:row>
                    <xdr:rowOff>167640</xdr:rowOff>
                  </from>
                  <to>
                    <xdr:col>5</xdr:col>
                    <xdr:colOff>2948940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AI208"/>
  <sheetViews>
    <sheetView topLeftCell="L1" zoomScale="115" zoomScaleNormal="115" workbookViewId="0">
      <selection activeCell="AA17" sqref="AA17"/>
    </sheetView>
  </sheetViews>
  <sheetFormatPr defaultRowHeight="13.2" x14ac:dyDescent="0.25"/>
  <cols>
    <col min="1" max="1" width="1.77734375" style="247" customWidth="1"/>
    <col min="2" max="2" width="3" style="255" bestFit="1" customWidth="1"/>
    <col min="3" max="3" width="1.77734375" style="247" customWidth="1"/>
    <col min="4" max="4" width="2.6640625" style="1" customWidth="1"/>
    <col min="5" max="5" width="3.33203125" style="1" bestFit="1" customWidth="1"/>
    <col min="6" max="6" width="6" style="51" bestFit="1" customWidth="1"/>
    <col min="7" max="7" width="5.88671875" bestFit="1" customWidth="1"/>
    <col min="8" max="8" width="9.21875" style="193" bestFit="1" customWidth="1"/>
    <col min="9" max="9" width="11.44140625" bestFit="1" customWidth="1"/>
    <col min="10" max="10" width="1.21875" style="1" customWidth="1"/>
    <col min="11" max="11" width="1.77734375" style="247" customWidth="1"/>
    <col min="12" max="12" width="1.33203125" style="1" customWidth="1"/>
    <col min="13" max="13" width="22.44140625" bestFit="1" customWidth="1"/>
    <col min="14" max="14" width="5.33203125" style="177" bestFit="1" customWidth="1"/>
    <col min="15" max="15" width="8.44140625" style="62" bestFit="1" customWidth="1"/>
    <col min="16" max="16" width="8.6640625" style="176" bestFit="1" customWidth="1"/>
    <col min="17" max="17" width="16.44140625" style="176" bestFit="1" customWidth="1"/>
    <col min="18" max="18" width="9.21875" bestFit="1" customWidth="1"/>
    <col min="19" max="19" width="6.5546875" style="56" bestFit="1" customWidth="1"/>
    <col min="20" max="20" width="9.77734375" style="56" bestFit="1" customWidth="1"/>
    <col min="21" max="21" width="2.44140625" style="56" customWidth="1"/>
    <col min="22" max="22" width="1.77734375" style="247" customWidth="1"/>
    <col min="23" max="23" width="3.33203125" style="1" customWidth="1"/>
    <col min="24" max="25" width="8.88671875" style="1"/>
    <col min="26" max="26" width="50.33203125" style="1" bestFit="1" customWidth="1"/>
    <col min="27" max="27" width="29.77734375" style="1" bestFit="1" customWidth="1"/>
    <col min="28" max="28" width="6.5546875" style="1" customWidth="1"/>
    <col min="29" max="29" width="8" style="1" customWidth="1"/>
    <col min="30" max="30" width="2.6640625" style="1" customWidth="1"/>
    <col min="31" max="31" width="1.77734375" style="247" customWidth="1"/>
    <col min="32" max="33" width="2.6640625" style="1" customWidth="1"/>
  </cols>
  <sheetData>
    <row r="1" spans="1:35" s="247" customFormat="1" ht="9" customHeight="1" x14ac:dyDescent="0.25">
      <c r="A1" s="245"/>
      <c r="B1" s="259"/>
      <c r="C1" s="245"/>
      <c r="D1" s="245"/>
      <c r="E1" s="245"/>
      <c r="F1" s="245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245"/>
      <c r="R1" s="245"/>
      <c r="S1" s="245"/>
      <c r="T1" s="245"/>
      <c r="U1" s="245"/>
      <c r="V1" s="245"/>
      <c r="W1" s="249"/>
      <c r="X1" s="249"/>
      <c r="Y1" s="249"/>
      <c r="AA1" s="249"/>
      <c r="AB1" s="249"/>
      <c r="AC1" s="249"/>
      <c r="AD1" s="249"/>
      <c r="AE1" s="249"/>
      <c r="AF1" s="249"/>
      <c r="AG1" s="249"/>
      <c r="AH1" s="249"/>
      <c r="AI1" s="249"/>
    </row>
    <row r="2" spans="1:35" s="117" customFormat="1" ht="15" x14ac:dyDescent="0.25">
      <c r="A2" s="245"/>
      <c r="B2" s="260"/>
      <c r="C2" s="245"/>
      <c r="D2" s="82"/>
      <c r="E2" s="1"/>
      <c r="F2" s="118"/>
      <c r="H2" s="194"/>
      <c r="K2" s="245"/>
      <c r="L2" s="316" t="s">
        <v>211</v>
      </c>
      <c r="M2" s="126" t="s">
        <v>210</v>
      </c>
      <c r="N2" s="178"/>
      <c r="O2" s="127"/>
      <c r="P2" s="184"/>
      <c r="Q2" s="184"/>
      <c r="R2" s="82"/>
      <c r="S2" s="128"/>
      <c r="T2" s="128"/>
      <c r="U2" s="128"/>
      <c r="V2" s="245"/>
      <c r="W2" s="249"/>
      <c r="X2" s="15"/>
      <c r="Y2" s="15"/>
      <c r="Z2" s="15"/>
      <c r="AA2" s="1"/>
      <c r="AB2" s="1"/>
      <c r="AC2" s="1"/>
      <c r="AD2" s="1"/>
      <c r="AE2" s="249"/>
      <c r="AF2" s="1"/>
      <c r="AG2" s="1"/>
    </row>
    <row r="3" spans="1:35" s="190" customFormat="1" ht="30.6" customHeight="1" x14ac:dyDescent="0.25">
      <c r="A3" s="245"/>
      <c r="B3" s="255"/>
      <c r="C3" s="245"/>
      <c r="D3" s="138"/>
      <c r="F3" s="52" t="s">
        <v>172</v>
      </c>
      <c r="G3" s="11" t="s">
        <v>13</v>
      </c>
      <c r="H3" s="11" t="s">
        <v>12</v>
      </c>
      <c r="I3" s="11" t="s">
        <v>15</v>
      </c>
      <c r="J3" s="200"/>
      <c r="K3" s="245"/>
      <c r="L3" s="201"/>
      <c r="M3" s="129" t="s">
        <v>11</v>
      </c>
      <c r="N3" s="179" t="s">
        <v>158</v>
      </c>
      <c r="O3" s="130" t="s">
        <v>6</v>
      </c>
      <c r="P3" s="129" t="s">
        <v>7</v>
      </c>
      <c r="Q3" s="129" t="s">
        <v>171</v>
      </c>
      <c r="R3" s="173" t="s">
        <v>14</v>
      </c>
      <c r="S3" s="174" t="s">
        <v>16</v>
      </c>
      <c r="T3" s="174" t="s">
        <v>17</v>
      </c>
      <c r="U3" s="165"/>
      <c r="V3" s="245"/>
      <c r="W3" s="249"/>
      <c r="X3" s="202"/>
      <c r="Y3" s="202"/>
      <c r="Z3" s="202"/>
      <c r="AE3" s="249"/>
      <c r="AH3" s="203"/>
    </row>
    <row r="4" spans="1:35" x14ac:dyDescent="0.25">
      <c r="A4" s="245"/>
      <c r="B4" s="255">
        <v>1</v>
      </c>
      <c r="C4" s="245"/>
      <c r="D4" s="137"/>
      <c r="E4" s="191"/>
      <c r="F4" s="112"/>
      <c r="G4" s="122">
        <f t="shared" ref="G4:G19" si="0">ROUND(SUM(F4:F4),4)</f>
        <v>0</v>
      </c>
      <c r="H4" s="195"/>
      <c r="I4" s="125"/>
      <c r="J4" s="115"/>
      <c r="K4" s="245"/>
      <c r="L4" s="81"/>
      <c r="M4" s="131"/>
      <c r="N4" s="205"/>
      <c r="O4" s="205"/>
      <c r="P4" s="204"/>
      <c r="Q4" s="185"/>
      <c r="R4" s="26">
        <f t="shared" ref="R4:R19" si="1">ROUND(H4*G4,0)</f>
        <v>0</v>
      </c>
      <c r="S4" s="175">
        <f t="shared" ref="S4:S19" si="2">IF(H4&lt;&gt;0,ROUND(I4/H4,2),0)</f>
        <v>0</v>
      </c>
      <c r="T4" s="175">
        <f t="shared" ref="T4:T19" si="3">S4*R4</f>
        <v>0</v>
      </c>
      <c r="U4" s="166"/>
      <c r="V4" s="245"/>
      <c r="W4" s="249"/>
      <c r="X4" s="15"/>
      <c r="Y4" s="15"/>
      <c r="Z4" s="15"/>
      <c r="AE4" s="249"/>
      <c r="AH4" s="113"/>
    </row>
    <row r="5" spans="1:35" s="1" customFormat="1" x14ac:dyDescent="0.25">
      <c r="A5" s="245"/>
      <c r="B5" s="255">
        <v>2</v>
      </c>
      <c r="C5" s="245"/>
      <c r="D5" s="137"/>
      <c r="E5" s="191"/>
      <c r="F5" s="112"/>
      <c r="G5" s="122">
        <f t="shared" si="0"/>
        <v>0</v>
      </c>
      <c r="H5" s="195"/>
      <c r="I5" s="172"/>
      <c r="J5" s="115"/>
      <c r="K5" s="245"/>
      <c r="L5" s="81"/>
      <c r="M5" s="132"/>
      <c r="N5" s="205"/>
      <c r="O5" s="205"/>
      <c r="P5" s="204"/>
      <c r="Q5" s="185"/>
      <c r="R5" s="26">
        <f t="shared" si="1"/>
        <v>0</v>
      </c>
      <c r="S5" s="175">
        <f t="shared" si="2"/>
        <v>0</v>
      </c>
      <c r="T5" s="175">
        <f t="shared" si="3"/>
        <v>0</v>
      </c>
      <c r="U5" s="166"/>
      <c r="V5" s="245"/>
      <c r="W5" s="249"/>
      <c r="X5" s="15"/>
      <c r="Y5" s="15"/>
      <c r="Z5" s="15"/>
      <c r="AE5" s="249"/>
      <c r="AH5" s="113"/>
    </row>
    <row r="6" spans="1:35" s="1" customFormat="1" x14ac:dyDescent="0.25">
      <c r="A6" s="245"/>
      <c r="B6" s="255">
        <v>3</v>
      </c>
      <c r="C6" s="245"/>
      <c r="D6" s="137"/>
      <c r="E6" s="191"/>
      <c r="F6" s="112"/>
      <c r="G6" s="122">
        <f t="shared" si="0"/>
        <v>0</v>
      </c>
      <c r="H6" s="195"/>
      <c r="I6" s="172"/>
      <c r="J6" s="115"/>
      <c r="K6" s="245"/>
      <c r="L6" s="81"/>
      <c r="M6" s="132"/>
      <c r="N6" s="205"/>
      <c r="O6" s="205"/>
      <c r="P6" s="204"/>
      <c r="Q6" s="185"/>
      <c r="R6" s="26">
        <f t="shared" si="1"/>
        <v>0</v>
      </c>
      <c r="S6" s="175">
        <f t="shared" si="2"/>
        <v>0</v>
      </c>
      <c r="T6" s="175">
        <f t="shared" si="3"/>
        <v>0</v>
      </c>
      <c r="U6" s="166"/>
      <c r="V6" s="245"/>
      <c r="W6" s="249"/>
      <c r="X6" s="15"/>
      <c r="Y6" s="15"/>
      <c r="Z6" s="15"/>
      <c r="AE6" s="249"/>
      <c r="AH6" s="113"/>
    </row>
    <row r="7" spans="1:35" s="1" customFormat="1" x14ac:dyDescent="0.25">
      <c r="A7" s="245"/>
      <c r="B7" s="255">
        <v>4</v>
      </c>
      <c r="C7" s="245"/>
      <c r="D7" s="137"/>
      <c r="E7" s="191"/>
      <c r="F7" s="112"/>
      <c r="G7" s="122">
        <f t="shared" si="0"/>
        <v>0</v>
      </c>
      <c r="H7" s="195"/>
      <c r="I7" s="172"/>
      <c r="J7" s="115"/>
      <c r="K7" s="245"/>
      <c r="L7" s="81"/>
      <c r="M7" s="132"/>
      <c r="N7" s="205"/>
      <c r="O7" s="205"/>
      <c r="P7" s="204"/>
      <c r="Q7" s="185"/>
      <c r="R7" s="26">
        <f t="shared" si="1"/>
        <v>0</v>
      </c>
      <c r="S7" s="175">
        <f t="shared" si="2"/>
        <v>0</v>
      </c>
      <c r="T7" s="175">
        <f t="shared" si="3"/>
        <v>0</v>
      </c>
      <c r="U7" s="166"/>
      <c r="V7" s="245"/>
      <c r="W7" s="249"/>
      <c r="X7" s="15"/>
      <c r="Y7" s="15"/>
      <c r="Z7" s="15"/>
      <c r="AE7" s="249"/>
      <c r="AH7" s="113"/>
    </row>
    <row r="8" spans="1:35" s="1" customFormat="1" x14ac:dyDescent="0.25">
      <c r="A8" s="245"/>
      <c r="B8" s="255">
        <v>5</v>
      </c>
      <c r="C8" s="245"/>
      <c r="D8" s="137"/>
      <c r="E8" s="191"/>
      <c r="F8" s="112"/>
      <c r="G8" s="122">
        <f t="shared" si="0"/>
        <v>0</v>
      </c>
      <c r="H8" s="195"/>
      <c r="I8" s="172"/>
      <c r="J8" s="115"/>
      <c r="K8" s="245"/>
      <c r="L8" s="81"/>
      <c r="M8" s="132"/>
      <c r="N8" s="205"/>
      <c r="O8" s="205"/>
      <c r="P8" s="204"/>
      <c r="Q8" s="185"/>
      <c r="R8" s="26">
        <f t="shared" ref="R8:R14" si="4">ROUND(H8*G8,0)</f>
        <v>0</v>
      </c>
      <c r="S8" s="175">
        <f t="shared" ref="S8:S14" si="5">IF(H8&lt;&gt;0,ROUND(I8/H8,2),0)</f>
        <v>0</v>
      </c>
      <c r="T8" s="175">
        <f t="shared" ref="T8:T14" si="6">S8*R8</f>
        <v>0</v>
      </c>
      <c r="U8" s="166"/>
      <c r="V8" s="245"/>
      <c r="W8" s="249"/>
      <c r="X8" s="15"/>
      <c r="Y8" s="15"/>
      <c r="Z8" s="15"/>
      <c r="AE8" s="249"/>
      <c r="AH8" s="113"/>
    </row>
    <row r="9" spans="1:35" s="1" customFormat="1" x14ac:dyDescent="0.25">
      <c r="A9" s="245"/>
      <c r="B9" s="255">
        <v>6</v>
      </c>
      <c r="C9" s="245"/>
      <c r="D9" s="137"/>
      <c r="E9" s="191"/>
      <c r="F9" s="112"/>
      <c r="G9" s="122">
        <f t="shared" si="0"/>
        <v>0</v>
      </c>
      <c r="H9" s="195"/>
      <c r="I9" s="172"/>
      <c r="J9" s="115"/>
      <c r="K9" s="245"/>
      <c r="L9" s="81"/>
      <c r="M9" s="132"/>
      <c r="N9" s="205"/>
      <c r="O9" s="205"/>
      <c r="P9" s="204"/>
      <c r="Q9" s="185"/>
      <c r="R9" s="26">
        <f t="shared" si="4"/>
        <v>0</v>
      </c>
      <c r="S9" s="175">
        <f t="shared" si="5"/>
        <v>0</v>
      </c>
      <c r="T9" s="175">
        <f t="shared" si="6"/>
        <v>0</v>
      </c>
      <c r="U9" s="166"/>
      <c r="V9" s="245"/>
      <c r="W9" s="249"/>
      <c r="X9" s="15"/>
      <c r="Y9" s="15"/>
      <c r="Z9" s="15"/>
      <c r="AE9" s="249"/>
      <c r="AH9" s="113"/>
    </row>
    <row r="10" spans="1:35" s="1" customFormat="1" x14ac:dyDescent="0.25">
      <c r="A10" s="245"/>
      <c r="B10" s="255">
        <v>7</v>
      </c>
      <c r="C10" s="245"/>
      <c r="D10" s="137"/>
      <c r="E10" s="191"/>
      <c r="F10" s="112"/>
      <c r="G10" s="122">
        <f t="shared" si="0"/>
        <v>0</v>
      </c>
      <c r="H10" s="195"/>
      <c r="I10" s="172"/>
      <c r="J10" s="115"/>
      <c r="K10" s="245"/>
      <c r="L10" s="81"/>
      <c r="M10" s="132"/>
      <c r="N10" s="205"/>
      <c r="O10" s="205"/>
      <c r="P10" s="204"/>
      <c r="Q10" s="185"/>
      <c r="R10" s="26">
        <f t="shared" si="4"/>
        <v>0</v>
      </c>
      <c r="S10" s="175">
        <f t="shared" si="5"/>
        <v>0</v>
      </c>
      <c r="T10" s="175">
        <f t="shared" si="6"/>
        <v>0</v>
      </c>
      <c r="U10" s="166"/>
      <c r="V10" s="245"/>
      <c r="W10" s="249"/>
      <c r="X10" s="15"/>
      <c r="Y10" s="15"/>
      <c r="Z10" s="15"/>
      <c r="AE10" s="249"/>
      <c r="AH10" s="113"/>
    </row>
    <row r="11" spans="1:35" s="1" customFormat="1" x14ac:dyDescent="0.25">
      <c r="A11" s="245"/>
      <c r="B11" s="255">
        <v>8</v>
      </c>
      <c r="C11" s="245"/>
      <c r="D11" s="137"/>
      <c r="E11" s="191"/>
      <c r="F11" s="112"/>
      <c r="G11" s="122">
        <f t="shared" si="0"/>
        <v>0</v>
      </c>
      <c r="H11" s="195"/>
      <c r="I11" s="172"/>
      <c r="J11" s="115"/>
      <c r="K11" s="245"/>
      <c r="L11" s="81"/>
      <c r="M11" s="132"/>
      <c r="N11" s="205"/>
      <c r="O11" s="205"/>
      <c r="P11" s="204"/>
      <c r="Q11" s="185"/>
      <c r="R11" s="26">
        <f t="shared" si="4"/>
        <v>0</v>
      </c>
      <c r="S11" s="175">
        <f t="shared" si="5"/>
        <v>0</v>
      </c>
      <c r="T11" s="175">
        <f t="shared" si="6"/>
        <v>0</v>
      </c>
      <c r="U11" s="166"/>
      <c r="V11" s="245"/>
      <c r="W11" s="249"/>
      <c r="X11" s="15"/>
      <c r="Y11" s="15"/>
      <c r="Z11" s="15"/>
      <c r="AE11" s="249"/>
      <c r="AH11" s="113"/>
    </row>
    <row r="12" spans="1:35" s="1" customFormat="1" x14ac:dyDescent="0.25">
      <c r="A12" s="245"/>
      <c r="B12" s="255">
        <v>9</v>
      </c>
      <c r="C12" s="245"/>
      <c r="D12" s="137"/>
      <c r="E12" s="192"/>
      <c r="F12" s="112"/>
      <c r="G12" s="122">
        <f t="shared" si="0"/>
        <v>0</v>
      </c>
      <c r="H12" s="195"/>
      <c r="I12" s="172"/>
      <c r="J12" s="115"/>
      <c r="K12" s="245"/>
      <c r="L12" s="81"/>
      <c r="M12" s="132"/>
      <c r="N12" s="205"/>
      <c r="O12" s="205"/>
      <c r="P12" s="204"/>
      <c r="Q12" s="185"/>
      <c r="R12" s="26">
        <f t="shared" si="4"/>
        <v>0</v>
      </c>
      <c r="S12" s="175">
        <f t="shared" si="5"/>
        <v>0</v>
      </c>
      <c r="T12" s="175">
        <f t="shared" si="6"/>
        <v>0</v>
      </c>
      <c r="U12" s="166"/>
      <c r="V12" s="245"/>
      <c r="W12" s="249"/>
      <c r="X12" s="15"/>
      <c r="Y12" s="15"/>
      <c r="Z12" s="15"/>
      <c r="AE12" s="249"/>
      <c r="AH12" s="113"/>
    </row>
    <row r="13" spans="1:35" s="1" customFormat="1" x14ac:dyDescent="0.25">
      <c r="A13" s="245"/>
      <c r="B13" s="255">
        <v>10</v>
      </c>
      <c r="C13" s="245"/>
      <c r="D13" s="137"/>
      <c r="E13" s="192"/>
      <c r="F13" s="112"/>
      <c r="G13" s="122">
        <f t="shared" si="0"/>
        <v>0</v>
      </c>
      <c r="H13" s="195"/>
      <c r="I13" s="172"/>
      <c r="J13" s="115"/>
      <c r="K13" s="245"/>
      <c r="L13" s="81"/>
      <c r="M13" s="132"/>
      <c r="N13" s="205"/>
      <c r="O13" s="205"/>
      <c r="P13" s="204"/>
      <c r="Q13" s="185"/>
      <c r="R13" s="26">
        <f t="shared" si="4"/>
        <v>0</v>
      </c>
      <c r="S13" s="175">
        <f t="shared" si="5"/>
        <v>0</v>
      </c>
      <c r="T13" s="175">
        <f t="shared" si="6"/>
        <v>0</v>
      </c>
      <c r="U13" s="166"/>
      <c r="V13" s="245"/>
      <c r="W13" s="249"/>
      <c r="X13" s="15"/>
      <c r="Y13" s="15"/>
      <c r="Z13" s="15"/>
      <c r="AE13" s="249"/>
      <c r="AH13" s="113"/>
    </row>
    <row r="14" spans="1:35" s="1" customFormat="1" x14ac:dyDescent="0.25">
      <c r="A14" s="245"/>
      <c r="B14" s="255">
        <v>11</v>
      </c>
      <c r="C14" s="245"/>
      <c r="D14" s="137"/>
      <c r="E14" s="192"/>
      <c r="F14" s="112"/>
      <c r="G14" s="122">
        <f t="shared" si="0"/>
        <v>0</v>
      </c>
      <c r="H14" s="195"/>
      <c r="I14" s="172"/>
      <c r="J14" s="115"/>
      <c r="K14" s="245"/>
      <c r="L14" s="81"/>
      <c r="M14" s="132"/>
      <c r="N14" s="205"/>
      <c r="O14" s="205"/>
      <c r="P14" s="204"/>
      <c r="Q14" s="185"/>
      <c r="R14" s="26">
        <f t="shared" si="4"/>
        <v>0</v>
      </c>
      <c r="S14" s="175">
        <f t="shared" si="5"/>
        <v>0</v>
      </c>
      <c r="T14" s="175">
        <f t="shared" si="6"/>
        <v>0</v>
      </c>
      <c r="U14" s="166"/>
      <c r="V14" s="245"/>
      <c r="W14" s="249"/>
      <c r="X14" s="15"/>
      <c r="Y14" s="15"/>
      <c r="Z14" s="15"/>
      <c r="AE14" s="249"/>
      <c r="AH14" s="113"/>
    </row>
    <row r="15" spans="1:35" s="1" customFormat="1" x14ac:dyDescent="0.25">
      <c r="A15" s="245"/>
      <c r="B15" s="255">
        <v>12</v>
      </c>
      <c r="C15" s="245"/>
      <c r="D15" s="137"/>
      <c r="E15" s="192"/>
      <c r="F15" s="112"/>
      <c r="G15" s="122">
        <f t="shared" si="0"/>
        <v>0</v>
      </c>
      <c r="H15" s="195"/>
      <c r="I15" s="172"/>
      <c r="J15" s="115"/>
      <c r="K15" s="245"/>
      <c r="L15" s="81"/>
      <c r="M15" s="132"/>
      <c r="N15" s="205"/>
      <c r="O15" s="205"/>
      <c r="P15" s="204"/>
      <c r="Q15" s="185"/>
      <c r="R15" s="26">
        <f t="shared" si="1"/>
        <v>0</v>
      </c>
      <c r="S15" s="175">
        <f t="shared" si="2"/>
        <v>0</v>
      </c>
      <c r="T15" s="175">
        <f t="shared" si="3"/>
        <v>0</v>
      </c>
      <c r="U15" s="166"/>
      <c r="V15" s="245"/>
      <c r="W15" s="249"/>
      <c r="X15" s="15"/>
      <c r="Y15" s="15"/>
      <c r="Z15" s="15"/>
      <c r="AE15" s="249"/>
      <c r="AH15" s="113"/>
    </row>
    <row r="16" spans="1:35" s="1" customFormat="1" x14ac:dyDescent="0.25">
      <c r="A16" s="245"/>
      <c r="B16" s="255">
        <v>13</v>
      </c>
      <c r="C16" s="245"/>
      <c r="D16" s="137"/>
      <c r="E16" s="192"/>
      <c r="F16" s="112"/>
      <c r="G16" s="122">
        <f t="shared" si="0"/>
        <v>0</v>
      </c>
      <c r="H16" s="195"/>
      <c r="I16" s="172"/>
      <c r="J16" s="115"/>
      <c r="K16" s="245"/>
      <c r="L16" s="81"/>
      <c r="M16" s="132"/>
      <c r="N16" s="205"/>
      <c r="O16" s="205"/>
      <c r="P16" s="204"/>
      <c r="Q16" s="185"/>
      <c r="R16" s="26">
        <f t="shared" si="1"/>
        <v>0</v>
      </c>
      <c r="S16" s="175">
        <f t="shared" si="2"/>
        <v>0</v>
      </c>
      <c r="T16" s="175">
        <f t="shared" si="3"/>
        <v>0</v>
      </c>
      <c r="U16" s="166"/>
      <c r="V16" s="245"/>
      <c r="W16" s="249"/>
      <c r="X16" s="15"/>
      <c r="Y16" s="15"/>
      <c r="Z16" s="15"/>
      <c r="AE16" s="249"/>
      <c r="AH16" s="113"/>
    </row>
    <row r="17" spans="1:35" s="1" customFormat="1" x14ac:dyDescent="0.25">
      <c r="A17" s="245"/>
      <c r="B17" s="255">
        <v>14</v>
      </c>
      <c r="C17" s="245"/>
      <c r="D17" s="137"/>
      <c r="E17" s="192"/>
      <c r="F17" s="112"/>
      <c r="G17" s="122">
        <f t="shared" si="0"/>
        <v>0</v>
      </c>
      <c r="H17" s="195"/>
      <c r="I17" s="172"/>
      <c r="J17" s="115"/>
      <c r="K17" s="245"/>
      <c r="L17" s="81"/>
      <c r="M17" s="132"/>
      <c r="N17" s="205"/>
      <c r="O17" s="205"/>
      <c r="P17" s="204"/>
      <c r="Q17" s="185"/>
      <c r="R17" s="26">
        <f t="shared" si="1"/>
        <v>0</v>
      </c>
      <c r="S17" s="175">
        <f t="shared" si="2"/>
        <v>0</v>
      </c>
      <c r="T17" s="175">
        <f t="shared" si="3"/>
        <v>0</v>
      </c>
      <c r="U17" s="166"/>
      <c r="V17" s="245"/>
      <c r="W17" s="249"/>
      <c r="X17" s="15"/>
      <c r="Y17" s="15"/>
      <c r="Z17" s="15"/>
      <c r="AE17" s="249"/>
      <c r="AH17" s="113"/>
    </row>
    <row r="18" spans="1:35" s="1" customFormat="1" x14ac:dyDescent="0.25">
      <c r="A18" s="245"/>
      <c r="B18" s="255">
        <v>15</v>
      </c>
      <c r="C18" s="245"/>
      <c r="D18" s="137"/>
      <c r="E18" s="192"/>
      <c r="F18" s="112"/>
      <c r="G18" s="122">
        <f t="shared" si="0"/>
        <v>0</v>
      </c>
      <c r="H18" s="195"/>
      <c r="I18" s="172"/>
      <c r="J18" s="115"/>
      <c r="K18" s="245"/>
      <c r="L18" s="81"/>
      <c r="M18" s="132"/>
      <c r="N18" s="205"/>
      <c r="O18" s="205"/>
      <c r="P18" s="204"/>
      <c r="Q18" s="185"/>
      <c r="R18" s="26">
        <f t="shared" si="1"/>
        <v>0</v>
      </c>
      <c r="S18" s="175">
        <f t="shared" si="2"/>
        <v>0</v>
      </c>
      <c r="T18" s="175">
        <f t="shared" si="3"/>
        <v>0</v>
      </c>
      <c r="U18" s="166"/>
      <c r="V18" s="245"/>
      <c r="W18" s="249"/>
      <c r="X18" s="15"/>
      <c r="Y18" s="15"/>
      <c r="Z18" s="15"/>
      <c r="AE18" s="249"/>
      <c r="AH18" s="113"/>
    </row>
    <row r="19" spans="1:35" s="1" customFormat="1" x14ac:dyDescent="0.25">
      <c r="A19" s="245"/>
      <c r="B19" s="255">
        <v>16</v>
      </c>
      <c r="C19" s="245"/>
      <c r="D19" s="137"/>
      <c r="E19" s="192"/>
      <c r="F19" s="112"/>
      <c r="G19" s="122">
        <f t="shared" si="0"/>
        <v>0</v>
      </c>
      <c r="H19" s="195"/>
      <c r="I19" s="246"/>
      <c r="J19" s="115"/>
      <c r="K19" s="245"/>
      <c r="L19" s="81"/>
      <c r="M19" s="131"/>
      <c r="N19" s="205"/>
      <c r="O19" s="205"/>
      <c r="P19" s="204"/>
      <c r="Q19" s="185"/>
      <c r="R19" s="26">
        <f t="shared" si="1"/>
        <v>0</v>
      </c>
      <c r="S19" s="175">
        <f t="shared" si="2"/>
        <v>0</v>
      </c>
      <c r="T19" s="175">
        <f t="shared" si="3"/>
        <v>0</v>
      </c>
      <c r="U19" s="166"/>
      <c r="V19" s="245"/>
      <c r="W19" s="249"/>
      <c r="X19" s="15"/>
      <c r="Y19" s="15"/>
      <c r="Z19" s="15"/>
      <c r="AE19" s="249"/>
      <c r="AH19" s="113"/>
    </row>
    <row r="20" spans="1:35" s="113" customFormat="1" x14ac:dyDescent="0.25">
      <c r="A20" s="245"/>
      <c r="B20" s="203"/>
      <c r="C20" s="245"/>
      <c r="D20" s="135"/>
      <c r="E20" s="1"/>
      <c r="F20" s="123" t="e">
        <f>AVERAGE(F4:F19)</f>
        <v>#DIV/0!</v>
      </c>
      <c r="G20" s="123">
        <f>AVERAGE(G4:G19)</f>
        <v>0</v>
      </c>
      <c r="H20" s="196">
        <f>SUM(H4:H19)</f>
        <v>0</v>
      </c>
      <c r="I20" s="124">
        <f>SUM(I4:I19)</f>
        <v>0</v>
      </c>
      <c r="J20" s="114"/>
      <c r="K20" s="245"/>
      <c r="L20" s="133"/>
      <c r="M20" s="133"/>
      <c r="N20" s="180"/>
      <c r="O20" s="134"/>
      <c r="P20" s="186"/>
      <c r="Q20" s="186"/>
      <c r="R20" s="135">
        <f>SUM(R4:R19)</f>
        <v>0</v>
      </c>
      <c r="S20" s="136"/>
      <c r="T20" s="141">
        <f>SUM(T4:T19)</f>
        <v>0</v>
      </c>
      <c r="U20" s="317" t="s">
        <v>211</v>
      </c>
      <c r="V20" s="245"/>
      <c r="W20" s="249"/>
      <c r="X20" s="15"/>
      <c r="Y20" s="15"/>
      <c r="Z20" s="15"/>
      <c r="AA20" s="1"/>
      <c r="AB20" s="1"/>
      <c r="AC20" s="1"/>
      <c r="AD20" s="1"/>
      <c r="AE20" s="249"/>
      <c r="AF20" s="1"/>
      <c r="AG20" s="1"/>
    </row>
    <row r="21" spans="1:35" s="247" customFormat="1" ht="9" customHeight="1" x14ac:dyDescent="0.25">
      <c r="A21" s="245"/>
      <c r="B21" s="259"/>
      <c r="C21" s="245"/>
      <c r="D21" s="245"/>
      <c r="E21" s="245"/>
      <c r="F21" s="245"/>
      <c r="G21" s="245"/>
      <c r="H21" s="245"/>
      <c r="I21" s="245"/>
      <c r="J21" s="245"/>
      <c r="K21" s="245"/>
      <c r="L21" s="245"/>
      <c r="M21" s="245"/>
      <c r="N21" s="245"/>
      <c r="O21" s="245"/>
      <c r="P21" s="245"/>
      <c r="Q21" s="245"/>
      <c r="R21" s="245"/>
      <c r="S21" s="245"/>
      <c r="T21" s="245"/>
      <c r="U21" s="245"/>
      <c r="V21" s="245"/>
      <c r="W21" s="249"/>
      <c r="X21" s="249"/>
      <c r="Y21" s="249"/>
      <c r="AA21" s="249"/>
      <c r="AB21" s="249"/>
      <c r="AC21" s="249"/>
      <c r="AD21" s="249"/>
      <c r="AE21" s="249"/>
      <c r="AF21" s="249"/>
      <c r="AG21" s="249"/>
      <c r="AH21" s="249"/>
      <c r="AI21" s="249"/>
    </row>
    <row r="22" spans="1:35" s="64" customFormat="1" ht="14.4" x14ac:dyDescent="0.25">
      <c r="A22" s="248"/>
      <c r="B22" s="188"/>
      <c r="C22" s="248"/>
      <c r="D22" s="1"/>
      <c r="E22" s="1"/>
      <c r="F22" s="66"/>
      <c r="H22" s="197"/>
      <c r="I22" s="164" t="s">
        <v>178</v>
      </c>
      <c r="K22" s="248"/>
      <c r="N22" s="181"/>
      <c r="O22" s="65"/>
      <c r="P22" s="188"/>
      <c r="Q22" s="187" t="s">
        <v>181</v>
      </c>
      <c r="R22" s="67"/>
      <c r="S22" s="119"/>
      <c r="T22" s="119"/>
      <c r="U22" s="119"/>
      <c r="V22" s="245"/>
      <c r="W22" s="249"/>
      <c r="X22" s="15"/>
      <c r="Y22" s="15"/>
      <c r="Z22" s="15"/>
      <c r="AA22" s="1"/>
      <c r="AB22" s="1"/>
      <c r="AC22" s="1"/>
      <c r="AD22" s="1"/>
      <c r="AE22" s="249"/>
      <c r="AF22" s="1"/>
      <c r="AG22" s="1"/>
    </row>
    <row r="23" spans="1:35" s="64" customFormat="1" ht="14.4" x14ac:dyDescent="0.25">
      <c r="A23" s="248"/>
      <c r="B23" s="188"/>
      <c r="C23" s="248"/>
      <c r="D23" s="1"/>
      <c r="E23" s="66"/>
      <c r="F23" s="66"/>
      <c r="G23" s="66"/>
      <c r="H23" s="197"/>
      <c r="J23" s="66"/>
      <c r="K23" s="248"/>
      <c r="L23" s="66"/>
      <c r="M23" s="66"/>
      <c r="N23" s="181"/>
      <c r="O23" s="65"/>
      <c r="P23" s="188"/>
      <c r="Q23" s="167" t="s">
        <v>173</v>
      </c>
      <c r="R23" s="139">
        <f>SUM(R4:R14)</f>
        <v>0</v>
      </c>
      <c r="S23" s="119"/>
      <c r="T23" s="139">
        <f>SUM(T4:T14)</f>
        <v>0</v>
      </c>
      <c r="U23" s="120"/>
      <c r="V23" s="245"/>
      <c r="W23" s="15"/>
      <c r="X23" s="15"/>
      <c r="Y23" s="15"/>
      <c r="Z23" s="15"/>
      <c r="AA23" s="1"/>
      <c r="AB23" s="1"/>
      <c r="AC23" s="1"/>
      <c r="AD23" s="1"/>
      <c r="AE23" s="249"/>
      <c r="AF23" s="1"/>
      <c r="AG23" s="1"/>
    </row>
    <row r="24" spans="1:35" s="64" customFormat="1" ht="14.4" x14ac:dyDescent="0.25">
      <c r="A24" s="248"/>
      <c r="B24" s="188"/>
      <c r="C24" s="248"/>
      <c r="D24" s="1"/>
      <c r="E24" s="66"/>
      <c r="F24" s="66"/>
      <c r="G24" s="66"/>
      <c r="H24" s="197"/>
      <c r="J24" s="66"/>
      <c r="K24" s="248"/>
      <c r="L24" s="66"/>
      <c r="M24" s="66"/>
      <c r="N24" s="181"/>
      <c r="O24" s="65"/>
      <c r="P24" s="188"/>
      <c r="Q24" s="167" t="s">
        <v>174</v>
      </c>
      <c r="R24" s="140">
        <f>SUM(R15:R19)</f>
        <v>0</v>
      </c>
      <c r="S24" s="119"/>
      <c r="T24" s="140">
        <f>SUM(T15:T19)</f>
        <v>0</v>
      </c>
      <c r="U24" s="120"/>
      <c r="V24" s="245"/>
      <c r="W24" s="15"/>
      <c r="X24" s="15"/>
      <c r="Y24" s="15"/>
      <c r="Z24" s="15"/>
      <c r="AA24" s="1"/>
      <c r="AB24" s="1"/>
      <c r="AC24" s="1"/>
      <c r="AD24" s="1"/>
      <c r="AE24" s="249"/>
      <c r="AF24" s="1"/>
      <c r="AG24" s="1"/>
    </row>
    <row r="25" spans="1:35" s="64" customFormat="1" ht="14.4" x14ac:dyDescent="0.25">
      <c r="A25" s="248"/>
      <c r="B25" s="188"/>
      <c r="C25" s="248"/>
      <c r="D25" s="1"/>
      <c r="E25" s="1"/>
      <c r="F25" s="66"/>
      <c r="H25" s="197"/>
      <c r="K25" s="248"/>
      <c r="N25" s="181"/>
      <c r="O25" s="65"/>
      <c r="P25" s="188"/>
      <c r="Q25" s="188"/>
      <c r="R25" s="196" t="str">
        <f>IF(SUM(R23:R24)=R20,"ok","ERROR")</f>
        <v>ok</v>
      </c>
      <c r="S25" s="119"/>
      <c r="T25" s="196" t="str">
        <f>IF(SUM(T23:T24)=T20,"ok","ERROR")</f>
        <v>ok</v>
      </c>
      <c r="U25" s="120"/>
      <c r="V25" s="245"/>
      <c r="W25" s="15"/>
      <c r="X25" s="15"/>
      <c r="Y25" s="15"/>
      <c r="Z25" s="15"/>
      <c r="AA25" s="1"/>
      <c r="AB25" s="1"/>
      <c r="AC25" s="1"/>
      <c r="AD25" s="1"/>
      <c r="AE25" s="249"/>
      <c r="AF25" s="1"/>
      <c r="AG25" s="1"/>
    </row>
    <row r="26" spans="1:35" s="247" customFormat="1" ht="9" customHeight="1" x14ac:dyDescent="0.25">
      <c r="A26" s="188"/>
      <c r="B26" s="188"/>
      <c r="C26" s="188"/>
      <c r="D26" s="188"/>
      <c r="E26" s="188"/>
      <c r="F26" s="188"/>
      <c r="G26" s="188"/>
      <c r="H26" s="188"/>
      <c r="I26" s="188"/>
      <c r="J26" s="188"/>
      <c r="K26" s="188"/>
      <c r="L26" s="188"/>
      <c r="M26" s="188"/>
      <c r="N26" s="188"/>
      <c r="O26" s="188"/>
      <c r="P26" s="188"/>
      <c r="Q26" s="245"/>
      <c r="R26" s="245"/>
      <c r="S26" s="245"/>
      <c r="T26" s="245"/>
      <c r="U26" s="245"/>
      <c r="V26" s="245"/>
      <c r="W26" s="245"/>
      <c r="X26" s="245"/>
      <c r="Y26" s="245"/>
      <c r="Z26" s="245"/>
      <c r="AA26" s="245"/>
      <c r="AB26" s="245"/>
      <c r="AC26" s="245"/>
      <c r="AD26" s="245"/>
      <c r="AE26" s="245"/>
      <c r="AF26" s="249"/>
      <c r="AG26" s="249"/>
      <c r="AH26" s="249"/>
      <c r="AI26" s="249"/>
    </row>
    <row r="27" spans="1:35" s="64" customFormat="1" ht="21.6" thickBot="1" x14ac:dyDescent="0.3">
      <c r="A27" s="248"/>
      <c r="B27" s="188"/>
      <c r="C27" s="248"/>
      <c r="D27" s="1"/>
      <c r="E27" s="1"/>
      <c r="F27" s="66"/>
      <c r="H27" s="197"/>
      <c r="K27" s="248"/>
      <c r="N27" s="181"/>
      <c r="O27" s="65"/>
      <c r="P27" s="188"/>
      <c r="Q27" s="188"/>
      <c r="R27" s="116"/>
      <c r="S27" s="119"/>
      <c r="T27" s="120"/>
      <c r="U27" s="120"/>
      <c r="V27" s="245"/>
      <c r="W27" s="315" t="s">
        <v>211</v>
      </c>
      <c r="X27" s="83"/>
      <c r="Y27" s="272" t="s">
        <v>208</v>
      </c>
      <c r="Z27" s="272"/>
      <c r="AA27" s="84"/>
      <c r="AB27" s="84"/>
      <c r="AC27" s="84"/>
      <c r="AD27" s="81"/>
      <c r="AE27" s="245"/>
      <c r="AF27" s="1"/>
      <c r="AG27" s="1"/>
    </row>
    <row r="28" spans="1:35" s="64" customFormat="1" ht="29.4" customHeight="1" x14ac:dyDescent="0.25">
      <c r="A28" s="248"/>
      <c r="B28" s="188"/>
      <c r="C28" s="248"/>
      <c r="D28" s="1"/>
      <c r="E28" s="1"/>
      <c r="F28" s="66"/>
      <c r="H28" s="197"/>
      <c r="K28" s="248"/>
      <c r="N28" s="181"/>
      <c r="O28" s="65"/>
      <c r="P28" s="188"/>
      <c r="Q28" s="188"/>
      <c r="R28" s="116"/>
      <c r="S28" s="120"/>
      <c r="T28" s="120"/>
      <c r="U28" s="120"/>
      <c r="V28" s="245"/>
      <c r="W28" s="81"/>
      <c r="X28" s="81"/>
      <c r="Y28" s="273" t="s">
        <v>101</v>
      </c>
      <c r="Z28" s="274"/>
      <c r="AA28" s="275"/>
      <c r="AB28" s="262" t="s">
        <v>106</v>
      </c>
      <c r="AC28" s="263"/>
      <c r="AD28" s="81"/>
      <c r="AE28" s="245"/>
      <c r="AF28" s="1"/>
      <c r="AG28" s="1"/>
    </row>
    <row r="29" spans="1:35" s="64" customFormat="1" ht="17.399999999999999" customHeight="1" thickBot="1" x14ac:dyDescent="0.3">
      <c r="A29" s="248"/>
      <c r="B29" s="188"/>
      <c r="C29" s="248"/>
      <c r="D29" s="1"/>
      <c r="E29" s="1"/>
      <c r="F29" s="66"/>
      <c r="H29" s="197"/>
      <c r="K29" s="248"/>
      <c r="N29" s="181"/>
      <c r="O29" s="65"/>
      <c r="P29" s="188"/>
      <c r="Q29" s="188"/>
      <c r="R29" s="116"/>
      <c r="S29" s="120"/>
      <c r="T29" s="120"/>
      <c r="U29" s="120"/>
      <c r="V29" s="245"/>
      <c r="W29" s="81"/>
      <c r="X29" s="81"/>
      <c r="Y29" s="45" t="s">
        <v>99</v>
      </c>
      <c r="Z29" s="46" t="s">
        <v>100</v>
      </c>
      <c r="AA29" s="70"/>
      <c r="AB29" s="18" t="s">
        <v>107</v>
      </c>
      <c r="AC29" s="19" t="s">
        <v>108</v>
      </c>
      <c r="AD29" s="81"/>
      <c r="AE29" s="245"/>
      <c r="AF29" s="1"/>
      <c r="AG29" s="1"/>
    </row>
    <row r="30" spans="1:35" s="64" customFormat="1" ht="29.4" customHeight="1" x14ac:dyDescent="0.25">
      <c r="A30" s="248"/>
      <c r="B30" s="188"/>
      <c r="C30" s="248"/>
      <c r="D30" s="1"/>
      <c r="E30" s="1"/>
      <c r="F30" s="66"/>
      <c r="H30" s="197"/>
      <c r="K30" s="248"/>
      <c r="N30" s="181"/>
      <c r="O30" s="65"/>
      <c r="P30" s="188"/>
      <c r="Q30" s="188"/>
      <c r="R30" s="116"/>
      <c r="S30" s="120"/>
      <c r="T30" s="120"/>
      <c r="U30" s="120"/>
      <c r="V30" s="245"/>
      <c r="W30" s="81"/>
      <c r="X30" s="264">
        <v>1</v>
      </c>
      <c r="Y30" s="267" t="s">
        <v>203</v>
      </c>
      <c r="Z30" s="268"/>
      <c r="AA30" s="269"/>
      <c r="AB30" s="270"/>
      <c r="AC30" s="271"/>
      <c r="AD30" s="81"/>
      <c r="AE30" s="245"/>
      <c r="AF30" s="1"/>
      <c r="AG30" s="1"/>
    </row>
    <row r="31" spans="1:35" s="64" customFormat="1" ht="14.4" x14ac:dyDescent="0.25">
      <c r="A31" s="248"/>
      <c r="B31" s="188"/>
      <c r="C31" s="248"/>
      <c r="D31" s="1"/>
      <c r="E31" s="1"/>
      <c r="F31" s="66"/>
      <c r="H31" s="197"/>
      <c r="K31" s="248"/>
      <c r="N31" s="181"/>
      <c r="O31" s="65"/>
      <c r="P31" s="188"/>
      <c r="Q31" s="188"/>
      <c r="R31" s="116"/>
      <c r="S31" s="120"/>
      <c r="T31" s="120"/>
      <c r="U31" s="120"/>
      <c r="V31" s="245"/>
      <c r="W31" s="81"/>
      <c r="X31" s="265"/>
      <c r="Y31" s="73" t="s">
        <v>96</v>
      </c>
      <c r="Z31" s="17" t="s">
        <v>102</v>
      </c>
      <c r="AA31" s="43" t="s">
        <v>153</v>
      </c>
      <c r="AB31" s="71">
        <v>0</v>
      </c>
      <c r="AC31" s="72">
        <v>0</v>
      </c>
      <c r="AD31" s="81"/>
      <c r="AE31" s="245"/>
      <c r="AF31" s="1"/>
      <c r="AG31" s="1"/>
    </row>
    <row r="32" spans="1:35" s="64" customFormat="1" ht="14.4" x14ac:dyDescent="0.25">
      <c r="A32" s="248"/>
      <c r="B32" s="188"/>
      <c r="C32" s="248"/>
      <c r="D32" s="1"/>
      <c r="E32" s="1"/>
      <c r="F32" s="66"/>
      <c r="H32" s="197"/>
      <c r="K32" s="248"/>
      <c r="N32" s="181"/>
      <c r="O32" s="65"/>
      <c r="P32" s="188"/>
      <c r="Q32" s="188"/>
      <c r="R32" s="116"/>
      <c r="S32" s="120"/>
      <c r="T32" s="120"/>
      <c r="U32" s="120"/>
      <c r="V32" s="245"/>
      <c r="W32" s="81"/>
      <c r="X32" s="265"/>
      <c r="Y32" s="73" t="s">
        <v>97</v>
      </c>
      <c r="Z32" s="16" t="s">
        <v>103</v>
      </c>
      <c r="AA32" s="43" t="s">
        <v>105</v>
      </c>
      <c r="AB32" s="26">
        <f>R23</f>
        <v>0</v>
      </c>
      <c r="AC32" s="27">
        <f>T23</f>
        <v>0</v>
      </c>
      <c r="AD32" s="81"/>
      <c r="AE32" s="245"/>
      <c r="AF32" s="1"/>
      <c r="AG32" s="1"/>
    </row>
    <row r="33" spans="1:35" s="64" customFormat="1" ht="15" thickBot="1" x14ac:dyDescent="0.3">
      <c r="A33" s="248"/>
      <c r="B33" s="188"/>
      <c r="C33" s="248"/>
      <c r="D33" s="1"/>
      <c r="E33" s="1"/>
      <c r="F33" s="66"/>
      <c r="H33" s="197"/>
      <c r="K33" s="248"/>
      <c r="N33" s="181"/>
      <c r="O33" s="65"/>
      <c r="P33" s="188"/>
      <c r="Q33" s="188"/>
      <c r="T33" s="120"/>
      <c r="U33" s="120"/>
      <c r="V33" s="245"/>
      <c r="W33" s="81"/>
      <c r="X33" s="266"/>
      <c r="Y33" s="74" t="s">
        <v>98</v>
      </c>
      <c r="Z33" s="20" t="s">
        <v>104</v>
      </c>
      <c r="AA33" s="44" t="s">
        <v>105</v>
      </c>
      <c r="AB33" s="28">
        <f>R24</f>
        <v>0</v>
      </c>
      <c r="AC33" s="29">
        <f>T24</f>
        <v>0</v>
      </c>
      <c r="AD33" s="81"/>
      <c r="AE33" s="245"/>
    </row>
    <row r="34" spans="1:35" s="1" customFormat="1" ht="14.4" x14ac:dyDescent="0.25">
      <c r="A34" s="248"/>
      <c r="B34" s="255"/>
      <c r="C34" s="248"/>
      <c r="F34" s="51"/>
      <c r="H34" s="197"/>
      <c r="I34" s="15"/>
      <c r="K34" s="248"/>
      <c r="N34" s="177"/>
      <c r="O34" s="62"/>
      <c r="P34" s="176"/>
      <c r="Q34" s="176"/>
      <c r="R34" s="15"/>
      <c r="S34" s="121"/>
      <c r="T34" s="121"/>
      <c r="U34" s="121"/>
      <c r="V34" s="245"/>
      <c r="W34" s="81"/>
      <c r="X34" s="81"/>
      <c r="Y34" s="81"/>
      <c r="Z34" s="81"/>
      <c r="AA34" s="81"/>
      <c r="AB34" s="81"/>
      <c r="AC34" s="81"/>
      <c r="AD34" s="104" t="s">
        <v>211</v>
      </c>
      <c r="AE34" s="245"/>
    </row>
    <row r="35" spans="1:35" s="247" customFormat="1" ht="9" customHeight="1" x14ac:dyDescent="0.25">
      <c r="A35" s="188"/>
      <c r="B35" s="188"/>
      <c r="C35" s="188"/>
      <c r="D35" s="188"/>
      <c r="E35" s="188"/>
      <c r="F35" s="188"/>
      <c r="G35" s="188"/>
      <c r="H35" s="188"/>
      <c r="I35" s="188"/>
      <c r="J35" s="188"/>
      <c r="K35" s="188"/>
      <c r="L35" s="188"/>
      <c r="M35" s="188"/>
      <c r="N35" s="188"/>
      <c r="O35" s="188"/>
      <c r="P35" s="188"/>
      <c r="Q35" s="188"/>
      <c r="R35" s="188"/>
      <c r="S35" s="188"/>
      <c r="T35" s="188"/>
      <c r="U35" s="188"/>
      <c r="V35" s="245"/>
      <c r="W35" s="245"/>
      <c r="X35" s="245"/>
      <c r="Y35" s="245"/>
      <c r="Z35" s="245"/>
      <c r="AA35" s="245"/>
      <c r="AB35" s="245"/>
      <c r="AC35" s="245"/>
      <c r="AD35" s="245"/>
      <c r="AE35" s="245"/>
      <c r="AF35" s="249"/>
      <c r="AG35" s="249"/>
      <c r="AH35" s="249"/>
      <c r="AI35" s="249"/>
    </row>
    <row r="36" spans="1:35" ht="14.4" x14ac:dyDescent="0.25">
      <c r="A36" s="248"/>
      <c r="C36" s="248"/>
      <c r="H36" s="197"/>
      <c r="I36" s="15"/>
      <c r="K36" s="248"/>
      <c r="M36" s="13"/>
      <c r="N36" s="182"/>
      <c r="O36" s="63"/>
      <c r="P36" s="189"/>
      <c r="Q36" s="189"/>
      <c r="R36" s="14"/>
      <c r="S36" s="121"/>
      <c r="V36" s="248"/>
      <c r="AE36" s="248"/>
    </row>
    <row r="37" spans="1:35" ht="14.4" x14ac:dyDescent="0.25">
      <c r="A37" s="248"/>
      <c r="C37" s="248"/>
      <c r="K37" s="248"/>
      <c r="M37" s="13"/>
      <c r="N37" s="182"/>
      <c r="O37" s="63"/>
      <c r="P37" s="189"/>
      <c r="Q37" s="189"/>
      <c r="V37" s="248"/>
      <c r="AE37" s="248"/>
    </row>
    <row r="38" spans="1:35" ht="14.4" x14ac:dyDescent="0.25">
      <c r="A38" s="248"/>
      <c r="C38" s="248"/>
      <c r="H38" s="198"/>
      <c r="K38" s="248"/>
      <c r="M38" s="13"/>
      <c r="N38" s="182"/>
      <c r="O38" s="63"/>
      <c r="P38" s="189"/>
      <c r="Q38" s="189"/>
      <c r="V38" s="248"/>
      <c r="AE38" s="248"/>
    </row>
    <row r="39" spans="1:35" ht="14.4" x14ac:dyDescent="0.25">
      <c r="A39" s="248"/>
      <c r="C39" s="248"/>
      <c r="K39" s="248"/>
      <c r="M39" s="13"/>
      <c r="N39" s="182"/>
      <c r="O39" s="63"/>
      <c r="P39" s="189"/>
      <c r="Q39" s="189"/>
      <c r="V39" s="248"/>
      <c r="AE39" s="248"/>
    </row>
    <row r="40" spans="1:35" ht="14.4" x14ac:dyDescent="0.25">
      <c r="A40" s="248"/>
      <c r="C40" s="248"/>
      <c r="K40" s="248"/>
      <c r="M40" s="13"/>
      <c r="N40" s="182"/>
      <c r="O40" s="63"/>
      <c r="P40" s="189"/>
      <c r="Q40" s="189"/>
      <c r="V40" s="248"/>
      <c r="AE40" s="248"/>
    </row>
    <row r="41" spans="1:35" ht="14.4" x14ac:dyDescent="0.25">
      <c r="A41" s="248"/>
      <c r="C41" s="248"/>
      <c r="K41" s="248"/>
      <c r="M41" s="13"/>
      <c r="N41" s="182"/>
      <c r="O41" s="63"/>
      <c r="P41" s="189"/>
      <c r="Q41" s="189"/>
      <c r="V41" s="248"/>
      <c r="AE41" s="248"/>
    </row>
    <row r="42" spans="1:35" ht="14.4" x14ac:dyDescent="0.25">
      <c r="A42" s="248"/>
      <c r="C42" s="248"/>
      <c r="K42" s="248"/>
      <c r="M42" s="13"/>
      <c r="N42" s="182"/>
      <c r="O42" s="63"/>
      <c r="P42" s="189"/>
      <c r="Q42" s="189"/>
      <c r="V42" s="248"/>
      <c r="AE42" s="248"/>
    </row>
    <row r="43" spans="1:35" ht="14.4" x14ac:dyDescent="0.25">
      <c r="A43" s="248"/>
      <c r="C43" s="248"/>
      <c r="K43" s="248"/>
      <c r="M43" s="13"/>
      <c r="N43" s="182"/>
      <c r="V43" s="248"/>
      <c r="AE43" s="248"/>
    </row>
    <row r="44" spans="1:35" ht="14.4" x14ac:dyDescent="0.25">
      <c r="A44" s="248"/>
      <c r="C44" s="248"/>
      <c r="K44" s="248"/>
      <c r="M44" s="13"/>
      <c r="N44" s="182"/>
      <c r="V44" s="248"/>
      <c r="AE44" s="248"/>
    </row>
    <row r="45" spans="1:35" ht="14.4" x14ac:dyDescent="0.25">
      <c r="A45" s="248"/>
      <c r="C45" s="248"/>
      <c r="K45" s="248"/>
      <c r="M45" s="13"/>
      <c r="N45" s="182"/>
      <c r="V45" s="248"/>
      <c r="AE45" s="248"/>
    </row>
    <row r="46" spans="1:35" ht="14.4" x14ac:dyDescent="0.25">
      <c r="A46" s="248"/>
      <c r="C46" s="248"/>
      <c r="K46" s="248"/>
      <c r="V46" s="248"/>
      <c r="AE46" s="248"/>
    </row>
    <row r="47" spans="1:35" ht="14.4" x14ac:dyDescent="0.25">
      <c r="A47" s="248"/>
      <c r="C47" s="248"/>
      <c r="K47" s="248"/>
      <c r="M47" s="13"/>
      <c r="N47" s="182"/>
      <c r="V47" s="248"/>
      <c r="AE47" s="248"/>
    </row>
    <row r="48" spans="1:35" ht="14.4" x14ac:dyDescent="0.25">
      <c r="A48" s="248"/>
      <c r="C48" s="248"/>
      <c r="K48" s="248"/>
      <c r="M48" s="13"/>
      <c r="N48" s="182"/>
      <c r="V48" s="248"/>
      <c r="AE48" s="248"/>
    </row>
    <row r="49" spans="1:31" ht="14.4" x14ac:dyDescent="0.25">
      <c r="A49" s="248"/>
      <c r="C49" s="248"/>
      <c r="K49" s="248"/>
      <c r="M49" s="13"/>
      <c r="N49" s="182"/>
      <c r="V49" s="248"/>
      <c r="AE49" s="248"/>
    </row>
    <row r="50" spans="1:31" ht="14.4" x14ac:dyDescent="0.25">
      <c r="A50" s="248"/>
      <c r="C50" s="248"/>
      <c r="K50" s="248"/>
      <c r="M50" s="13"/>
      <c r="N50" s="182"/>
      <c r="V50" s="248"/>
      <c r="AE50" s="248"/>
    </row>
    <row r="51" spans="1:31" ht="14.4" x14ac:dyDescent="0.25">
      <c r="A51" s="248"/>
      <c r="C51" s="248"/>
      <c r="K51" s="248"/>
      <c r="M51" s="13"/>
      <c r="N51" s="182"/>
      <c r="V51" s="248"/>
      <c r="AE51" s="248"/>
    </row>
    <row r="52" spans="1:31" ht="14.4" x14ac:dyDescent="0.25">
      <c r="A52" s="248"/>
      <c r="C52" s="248"/>
      <c r="K52" s="248"/>
      <c r="M52" s="13"/>
      <c r="N52" s="182"/>
      <c r="V52" s="248"/>
      <c r="AE52" s="248"/>
    </row>
    <row r="53" spans="1:31" ht="14.4" x14ac:dyDescent="0.25">
      <c r="A53" s="248"/>
      <c r="C53" s="248"/>
      <c r="K53" s="248"/>
      <c r="M53" s="13"/>
      <c r="N53" s="182"/>
      <c r="V53" s="248"/>
      <c r="AE53" s="248"/>
    </row>
    <row r="54" spans="1:31" ht="14.4" x14ac:dyDescent="0.25">
      <c r="A54" s="248"/>
      <c r="C54" s="248"/>
      <c r="K54" s="248"/>
      <c r="M54" s="13"/>
      <c r="N54" s="182"/>
      <c r="V54" s="248"/>
      <c r="AE54" s="248"/>
    </row>
    <row r="55" spans="1:31" ht="14.4" x14ac:dyDescent="0.25">
      <c r="A55" s="248"/>
      <c r="C55" s="248"/>
      <c r="K55" s="248"/>
      <c r="M55" s="13"/>
      <c r="N55" s="182"/>
      <c r="V55" s="248"/>
      <c r="AE55" s="248"/>
    </row>
    <row r="56" spans="1:31" ht="14.4" x14ac:dyDescent="0.25">
      <c r="A56" s="248"/>
      <c r="C56" s="248"/>
      <c r="K56" s="248"/>
      <c r="M56" s="13"/>
      <c r="N56" s="182"/>
      <c r="V56" s="248"/>
      <c r="AE56" s="248"/>
    </row>
    <row r="57" spans="1:31" ht="14.4" x14ac:dyDescent="0.25">
      <c r="A57" s="248"/>
      <c r="C57" s="248"/>
      <c r="K57" s="248"/>
      <c r="M57" s="13"/>
      <c r="N57" s="182"/>
      <c r="V57" s="248"/>
      <c r="AE57" s="248"/>
    </row>
    <row r="58" spans="1:31" ht="14.4" x14ac:dyDescent="0.25">
      <c r="A58" s="248"/>
      <c r="C58" s="248"/>
      <c r="K58" s="248"/>
      <c r="M58" s="13"/>
      <c r="N58" s="182"/>
      <c r="V58" s="248"/>
      <c r="AE58" s="248"/>
    </row>
    <row r="59" spans="1:31" ht="14.4" x14ac:dyDescent="0.25">
      <c r="A59" s="248"/>
      <c r="C59" s="248"/>
      <c r="K59" s="248"/>
      <c r="V59" s="248"/>
      <c r="AE59" s="248"/>
    </row>
    <row r="60" spans="1:31" ht="14.4" x14ac:dyDescent="0.25">
      <c r="A60" s="248"/>
      <c r="C60" s="248"/>
      <c r="K60" s="248"/>
      <c r="M60" s="13"/>
      <c r="N60" s="182"/>
      <c r="V60" s="248"/>
      <c r="AE60" s="248"/>
    </row>
    <row r="61" spans="1:31" ht="14.4" x14ac:dyDescent="0.25">
      <c r="A61" s="248"/>
      <c r="C61" s="248"/>
      <c r="K61" s="248"/>
      <c r="M61" s="13"/>
      <c r="N61" s="182"/>
      <c r="V61" s="248"/>
      <c r="AE61" s="248"/>
    </row>
    <row r="62" spans="1:31" ht="14.4" x14ac:dyDescent="0.25">
      <c r="A62" s="248"/>
      <c r="C62" s="248"/>
      <c r="K62" s="248"/>
      <c r="M62" s="13"/>
      <c r="N62" s="182"/>
      <c r="V62" s="248"/>
      <c r="AE62" s="248"/>
    </row>
    <row r="63" spans="1:31" ht="14.4" x14ac:dyDescent="0.25">
      <c r="A63" s="248"/>
      <c r="C63" s="248"/>
      <c r="K63" s="248"/>
      <c r="M63" s="13"/>
      <c r="N63" s="182"/>
      <c r="V63" s="248"/>
      <c r="AE63" s="248"/>
    </row>
    <row r="64" spans="1:31" ht="14.4" x14ac:dyDescent="0.25">
      <c r="A64" s="248"/>
      <c r="C64" s="248"/>
      <c r="K64" s="248"/>
      <c r="M64" s="13"/>
      <c r="N64" s="182"/>
      <c r="V64" s="248"/>
      <c r="AE64" s="248"/>
    </row>
    <row r="65" spans="1:31" ht="14.4" x14ac:dyDescent="0.25">
      <c r="A65" s="248"/>
      <c r="C65" s="248"/>
      <c r="K65" s="248"/>
      <c r="M65" s="13"/>
      <c r="N65" s="182"/>
      <c r="V65" s="248"/>
      <c r="AE65" s="248"/>
    </row>
    <row r="66" spans="1:31" ht="14.4" x14ac:dyDescent="0.25">
      <c r="A66" s="248"/>
      <c r="C66" s="248"/>
      <c r="K66" s="248"/>
      <c r="M66" s="13"/>
      <c r="N66" s="182"/>
      <c r="V66" s="248"/>
      <c r="AE66" s="248"/>
    </row>
    <row r="67" spans="1:31" ht="14.4" x14ac:dyDescent="0.25">
      <c r="A67" s="248"/>
      <c r="C67" s="248"/>
      <c r="K67" s="248"/>
      <c r="M67" s="13"/>
      <c r="N67" s="182"/>
      <c r="V67" s="248"/>
      <c r="AE67" s="248"/>
    </row>
    <row r="68" spans="1:31" ht="14.4" x14ac:dyDescent="0.25">
      <c r="A68" s="248"/>
      <c r="C68" s="248"/>
      <c r="K68" s="248"/>
      <c r="M68" s="13"/>
      <c r="N68" s="182"/>
      <c r="V68" s="248"/>
      <c r="AE68" s="248"/>
    </row>
    <row r="69" spans="1:31" ht="14.4" x14ac:dyDescent="0.25">
      <c r="A69" s="248"/>
      <c r="C69" s="248"/>
      <c r="K69" s="248"/>
      <c r="M69" s="13"/>
      <c r="N69" s="182"/>
      <c r="V69" s="248"/>
      <c r="AE69" s="248"/>
    </row>
    <row r="70" spans="1:31" ht="14.4" x14ac:dyDescent="0.25">
      <c r="A70" s="248"/>
      <c r="C70" s="248"/>
      <c r="K70" s="248"/>
      <c r="M70" s="13"/>
      <c r="N70" s="182"/>
      <c r="V70" s="248"/>
      <c r="AE70" s="248"/>
    </row>
    <row r="71" spans="1:31" ht="14.4" x14ac:dyDescent="0.25">
      <c r="A71" s="248"/>
      <c r="C71" s="248"/>
      <c r="K71" s="248"/>
      <c r="V71" s="248"/>
      <c r="AE71" s="248"/>
    </row>
    <row r="72" spans="1:31" ht="14.4" x14ac:dyDescent="0.25">
      <c r="A72" s="248"/>
      <c r="C72" s="248"/>
      <c r="K72" s="248"/>
      <c r="M72" s="13"/>
      <c r="N72" s="182"/>
      <c r="V72" s="248"/>
      <c r="AE72" s="248"/>
    </row>
    <row r="73" spans="1:31" ht="14.4" x14ac:dyDescent="0.25">
      <c r="A73" s="248"/>
      <c r="C73" s="248"/>
      <c r="K73" s="248"/>
      <c r="M73" s="13"/>
      <c r="N73" s="182"/>
      <c r="V73" s="248"/>
      <c r="AE73" s="248"/>
    </row>
    <row r="74" spans="1:31" ht="14.4" x14ac:dyDescent="0.25">
      <c r="A74" s="248"/>
      <c r="C74" s="248"/>
      <c r="K74" s="248"/>
      <c r="V74" s="248"/>
      <c r="AE74" s="248"/>
    </row>
    <row r="75" spans="1:31" ht="14.4" x14ac:dyDescent="0.25">
      <c r="A75" s="248"/>
      <c r="C75" s="248"/>
      <c r="K75" s="248"/>
      <c r="M75" s="13"/>
      <c r="N75" s="182"/>
      <c r="V75" s="248"/>
      <c r="AE75" s="248"/>
    </row>
    <row r="76" spans="1:31" ht="14.4" x14ac:dyDescent="0.25">
      <c r="A76" s="248"/>
      <c r="C76" s="248"/>
      <c r="K76" s="248"/>
      <c r="M76" s="13"/>
      <c r="N76" s="182"/>
      <c r="V76" s="248"/>
      <c r="AE76" s="248"/>
    </row>
    <row r="77" spans="1:31" ht="14.4" x14ac:dyDescent="0.25">
      <c r="A77" s="248"/>
      <c r="C77" s="248"/>
      <c r="K77" s="248"/>
      <c r="M77" s="13"/>
      <c r="N77" s="182"/>
      <c r="V77" s="248"/>
      <c r="AE77" s="248"/>
    </row>
    <row r="78" spans="1:31" ht="14.4" x14ac:dyDescent="0.25">
      <c r="A78" s="248"/>
      <c r="C78" s="248"/>
      <c r="K78" s="248"/>
      <c r="M78" s="13"/>
      <c r="N78" s="182"/>
      <c r="V78" s="248"/>
      <c r="AE78" s="248"/>
    </row>
    <row r="79" spans="1:31" ht="14.4" x14ac:dyDescent="0.25">
      <c r="A79" s="248"/>
      <c r="C79" s="248"/>
      <c r="K79" s="248"/>
      <c r="M79" s="13"/>
      <c r="N79" s="182"/>
      <c r="V79" s="248"/>
      <c r="AE79" s="248"/>
    </row>
    <row r="80" spans="1:31" ht="14.4" x14ac:dyDescent="0.25">
      <c r="A80" s="248"/>
      <c r="C80" s="248"/>
      <c r="K80" s="248"/>
      <c r="M80" s="13"/>
      <c r="N80" s="182"/>
      <c r="V80" s="248"/>
      <c r="AE80" s="248"/>
    </row>
    <row r="81" spans="1:31" ht="14.4" x14ac:dyDescent="0.25">
      <c r="A81" s="248"/>
      <c r="C81" s="248"/>
      <c r="K81" s="248"/>
      <c r="M81" s="13"/>
      <c r="N81" s="182"/>
      <c r="V81" s="248"/>
      <c r="AE81" s="248"/>
    </row>
    <row r="82" spans="1:31" ht="14.4" x14ac:dyDescent="0.25">
      <c r="A82" s="248"/>
      <c r="C82" s="248"/>
      <c r="K82" s="248"/>
      <c r="V82" s="248"/>
      <c r="AE82" s="248"/>
    </row>
    <row r="83" spans="1:31" ht="14.4" x14ac:dyDescent="0.25">
      <c r="A83" s="248"/>
      <c r="C83" s="248"/>
      <c r="K83" s="248"/>
      <c r="M83" s="13"/>
      <c r="N83" s="182"/>
      <c r="V83" s="248"/>
      <c r="AE83" s="248"/>
    </row>
    <row r="84" spans="1:31" ht="14.4" x14ac:dyDescent="0.25">
      <c r="A84" s="248"/>
      <c r="C84" s="248"/>
      <c r="K84" s="248"/>
      <c r="M84" s="48"/>
      <c r="N84" s="183"/>
      <c r="V84" s="248"/>
      <c r="AE84" s="248"/>
    </row>
    <row r="85" spans="1:31" ht="14.4" x14ac:dyDescent="0.25">
      <c r="A85" s="248"/>
      <c r="C85" s="248"/>
      <c r="K85" s="248"/>
      <c r="M85" s="48"/>
      <c r="N85" s="183"/>
      <c r="V85" s="248"/>
      <c r="AE85" s="248"/>
    </row>
    <row r="86" spans="1:31" ht="14.4" x14ac:dyDescent="0.25">
      <c r="A86" s="248"/>
      <c r="C86" s="248"/>
      <c r="K86" s="248"/>
      <c r="M86" s="48"/>
      <c r="N86" s="183"/>
      <c r="V86" s="248"/>
      <c r="AE86" s="248"/>
    </row>
    <row r="87" spans="1:31" ht="14.4" x14ac:dyDescent="0.25">
      <c r="A87" s="248"/>
      <c r="C87" s="248"/>
      <c r="K87" s="248"/>
      <c r="M87" s="48"/>
      <c r="N87" s="183"/>
      <c r="V87" s="248"/>
      <c r="AE87" s="248"/>
    </row>
    <row r="88" spans="1:31" ht="14.4" x14ac:dyDescent="0.25">
      <c r="A88" s="248"/>
      <c r="C88" s="248"/>
      <c r="K88" s="248"/>
      <c r="M88" s="48"/>
      <c r="N88" s="183"/>
      <c r="V88" s="248"/>
      <c r="AE88" s="248"/>
    </row>
    <row r="89" spans="1:31" ht="14.4" x14ac:dyDescent="0.25">
      <c r="A89" s="248"/>
      <c r="C89" s="248"/>
      <c r="K89" s="248"/>
      <c r="M89" s="48"/>
      <c r="N89" s="183"/>
      <c r="V89" s="248"/>
      <c r="AE89" s="248"/>
    </row>
    <row r="90" spans="1:31" ht="14.4" x14ac:dyDescent="0.25">
      <c r="A90" s="248"/>
      <c r="C90" s="248"/>
      <c r="K90" s="248"/>
      <c r="M90" s="48"/>
      <c r="N90" s="183"/>
      <c r="V90" s="248"/>
      <c r="AE90" s="248"/>
    </row>
    <row r="91" spans="1:31" ht="14.4" x14ac:dyDescent="0.25">
      <c r="A91" s="248"/>
      <c r="C91" s="248"/>
      <c r="K91" s="248"/>
      <c r="M91" s="48"/>
      <c r="N91" s="183"/>
      <c r="V91" s="248"/>
      <c r="AE91" s="248"/>
    </row>
    <row r="92" spans="1:31" ht="14.4" x14ac:dyDescent="0.25">
      <c r="A92" s="248"/>
      <c r="C92" s="248"/>
      <c r="K92" s="248"/>
      <c r="M92" s="13"/>
      <c r="N92" s="182"/>
      <c r="V92" s="248"/>
      <c r="AE92" s="248"/>
    </row>
    <row r="93" spans="1:31" ht="14.4" x14ac:dyDescent="0.25">
      <c r="A93" s="248"/>
      <c r="C93" s="248"/>
      <c r="K93" s="248"/>
      <c r="M93" s="13"/>
      <c r="N93" s="182"/>
      <c r="V93" s="248"/>
      <c r="AE93" s="248"/>
    </row>
    <row r="94" spans="1:31" ht="14.4" x14ac:dyDescent="0.25">
      <c r="A94" s="248"/>
      <c r="C94" s="248"/>
      <c r="K94" s="248"/>
      <c r="M94" s="13"/>
      <c r="N94" s="182"/>
      <c r="V94" s="248"/>
      <c r="AE94" s="248"/>
    </row>
    <row r="95" spans="1:31" ht="14.4" x14ac:dyDescent="0.25">
      <c r="A95" s="248"/>
      <c r="C95" s="248"/>
      <c r="K95" s="248"/>
      <c r="M95" s="13"/>
      <c r="N95" s="182"/>
      <c r="V95" s="248"/>
      <c r="AE95" s="248"/>
    </row>
    <row r="96" spans="1:31" ht="14.4" x14ac:dyDescent="0.25">
      <c r="A96" s="248"/>
      <c r="C96" s="248"/>
      <c r="K96" s="248"/>
      <c r="M96" s="13"/>
      <c r="N96" s="182"/>
      <c r="V96" s="248"/>
      <c r="AE96" s="248"/>
    </row>
    <row r="97" spans="1:31" ht="14.4" x14ac:dyDescent="0.25">
      <c r="A97" s="248"/>
      <c r="C97" s="248"/>
      <c r="K97" s="248"/>
      <c r="M97" s="13"/>
      <c r="N97" s="182"/>
      <c r="V97" s="248"/>
      <c r="AE97" s="248"/>
    </row>
    <row r="98" spans="1:31" ht="14.4" x14ac:dyDescent="0.25">
      <c r="A98" s="248"/>
      <c r="C98" s="248"/>
      <c r="K98" s="248"/>
      <c r="M98" s="13"/>
      <c r="N98" s="182"/>
      <c r="V98" s="248"/>
      <c r="AE98" s="248"/>
    </row>
    <row r="99" spans="1:31" ht="14.4" x14ac:dyDescent="0.25">
      <c r="A99" s="248"/>
      <c r="C99" s="248"/>
      <c r="K99" s="248"/>
      <c r="M99" s="13"/>
      <c r="N99" s="182"/>
      <c r="V99" s="248"/>
      <c r="AE99" s="248"/>
    </row>
    <row r="100" spans="1:31" ht="14.4" x14ac:dyDescent="0.25">
      <c r="A100" s="248"/>
      <c r="C100" s="248"/>
      <c r="K100" s="248"/>
      <c r="M100" s="13"/>
      <c r="N100" s="182"/>
      <c r="V100" s="248"/>
      <c r="AE100" s="248"/>
    </row>
    <row r="101" spans="1:31" ht="14.4" x14ac:dyDescent="0.25">
      <c r="A101" s="248"/>
      <c r="C101" s="248"/>
      <c r="K101" s="248"/>
      <c r="M101" s="13"/>
      <c r="N101" s="182"/>
      <c r="V101" s="248"/>
      <c r="AE101" s="248"/>
    </row>
    <row r="102" spans="1:31" ht="14.4" x14ac:dyDescent="0.25">
      <c r="A102" s="248"/>
      <c r="C102" s="248"/>
      <c r="K102" s="248"/>
      <c r="M102" s="13"/>
      <c r="N102" s="182"/>
      <c r="V102" s="248"/>
      <c r="AE102" s="248"/>
    </row>
    <row r="103" spans="1:31" ht="14.4" x14ac:dyDescent="0.25">
      <c r="A103" s="248"/>
      <c r="C103" s="248"/>
      <c r="K103" s="248"/>
      <c r="M103" s="13"/>
      <c r="N103" s="182"/>
      <c r="V103" s="248"/>
      <c r="AE103" s="248"/>
    </row>
    <row r="104" spans="1:31" ht="14.4" x14ac:dyDescent="0.25">
      <c r="A104" s="248"/>
      <c r="C104" s="248"/>
      <c r="K104" s="248"/>
      <c r="M104" s="13"/>
      <c r="N104" s="182"/>
      <c r="V104" s="248"/>
      <c r="AE104" s="248"/>
    </row>
    <row r="105" spans="1:31" ht="14.4" x14ac:dyDescent="0.25">
      <c r="A105" s="248"/>
      <c r="C105" s="248"/>
      <c r="K105" s="248"/>
      <c r="M105" s="13"/>
      <c r="N105" s="182"/>
      <c r="V105" s="248"/>
      <c r="AE105" s="248"/>
    </row>
    <row r="106" spans="1:31" ht="14.4" x14ac:dyDescent="0.25">
      <c r="A106" s="248"/>
      <c r="C106" s="248"/>
      <c r="K106" s="248"/>
      <c r="M106" s="13"/>
      <c r="N106" s="182"/>
      <c r="V106" s="248"/>
      <c r="AE106" s="248"/>
    </row>
    <row r="107" spans="1:31" ht="14.4" x14ac:dyDescent="0.25">
      <c r="A107" s="248"/>
      <c r="C107" s="248"/>
      <c r="K107" s="248"/>
      <c r="M107" s="13"/>
      <c r="N107" s="182"/>
      <c r="V107" s="248"/>
      <c r="AE107" s="248"/>
    </row>
    <row r="108" spans="1:31" ht="14.4" x14ac:dyDescent="0.25">
      <c r="A108" s="248"/>
      <c r="C108" s="248"/>
      <c r="K108" s="248"/>
      <c r="M108" s="13"/>
      <c r="N108" s="182"/>
      <c r="V108" s="248"/>
      <c r="AE108" s="248"/>
    </row>
    <row r="109" spans="1:31" ht="14.4" x14ac:dyDescent="0.25">
      <c r="A109" s="248"/>
      <c r="C109" s="248"/>
      <c r="K109" s="248"/>
      <c r="M109" s="13"/>
      <c r="N109" s="182"/>
      <c r="V109" s="248"/>
      <c r="AE109" s="248"/>
    </row>
    <row r="110" spans="1:31" ht="14.4" x14ac:dyDescent="0.25">
      <c r="A110" s="248"/>
      <c r="C110" s="248"/>
      <c r="K110" s="248"/>
      <c r="M110" s="13"/>
      <c r="N110" s="182"/>
      <c r="V110" s="248"/>
      <c r="AE110" s="248"/>
    </row>
    <row r="111" spans="1:31" ht="21" x14ac:dyDescent="0.25">
      <c r="A111" s="248"/>
      <c r="C111" s="248"/>
      <c r="G111" s="21"/>
      <c r="H111" s="199"/>
      <c r="J111" s="21"/>
      <c r="K111" s="248"/>
      <c r="M111" s="13"/>
      <c r="N111" s="182"/>
      <c r="O111" s="63"/>
      <c r="P111" s="189"/>
      <c r="Q111" s="189"/>
      <c r="V111" s="248"/>
      <c r="AE111" s="248"/>
    </row>
    <row r="112" spans="1:31" ht="21" x14ac:dyDescent="0.25">
      <c r="A112" s="248"/>
      <c r="C112" s="248"/>
      <c r="G112" s="21"/>
      <c r="H112" s="199"/>
      <c r="J112" s="21"/>
      <c r="K112" s="248"/>
      <c r="M112" s="13"/>
      <c r="N112" s="182"/>
      <c r="O112" s="63"/>
      <c r="P112" s="189"/>
      <c r="Q112" s="189"/>
      <c r="V112" s="248"/>
      <c r="AE112" s="248"/>
    </row>
    <row r="113" spans="1:31" ht="21" x14ac:dyDescent="0.25">
      <c r="A113" s="248"/>
      <c r="C113" s="248"/>
      <c r="G113" s="21"/>
      <c r="H113" s="199"/>
      <c r="J113" s="21"/>
      <c r="K113" s="248"/>
      <c r="M113" s="13"/>
      <c r="N113" s="182"/>
      <c r="O113" s="63"/>
      <c r="P113" s="189"/>
      <c r="Q113" s="189"/>
      <c r="V113" s="248"/>
      <c r="AE113" s="248"/>
    </row>
    <row r="114" spans="1:31" ht="21" x14ac:dyDescent="0.25">
      <c r="A114" s="248"/>
      <c r="C114" s="248"/>
      <c r="G114" s="21"/>
      <c r="H114" s="199"/>
      <c r="J114" s="21"/>
      <c r="K114" s="248"/>
      <c r="M114" s="13"/>
      <c r="N114" s="182"/>
      <c r="O114" s="63"/>
      <c r="P114" s="189"/>
      <c r="Q114" s="189"/>
      <c r="V114" s="248"/>
      <c r="AE114" s="248"/>
    </row>
    <row r="115" spans="1:31" ht="21" x14ac:dyDescent="0.25">
      <c r="G115" s="21"/>
      <c r="H115" s="199"/>
      <c r="J115" s="21"/>
      <c r="M115" s="13"/>
      <c r="N115" s="182"/>
      <c r="O115" s="63"/>
      <c r="P115" s="189"/>
      <c r="Q115" s="189"/>
    </row>
    <row r="116" spans="1:31" ht="21" x14ac:dyDescent="0.25">
      <c r="G116" s="21"/>
      <c r="H116" s="199"/>
      <c r="J116" s="21"/>
      <c r="M116" s="13"/>
      <c r="N116" s="182"/>
      <c r="O116" s="63"/>
      <c r="P116" s="189"/>
      <c r="Q116" s="189"/>
    </row>
    <row r="117" spans="1:31" ht="21" x14ac:dyDescent="0.25">
      <c r="G117" s="21"/>
      <c r="H117" s="199"/>
      <c r="J117" s="21"/>
      <c r="M117" s="13"/>
      <c r="N117" s="182"/>
      <c r="O117" s="63"/>
      <c r="P117" s="189"/>
      <c r="Q117" s="189"/>
    </row>
    <row r="118" spans="1:31" ht="21" x14ac:dyDescent="0.25">
      <c r="G118" s="21"/>
      <c r="H118" s="199"/>
      <c r="J118" s="21"/>
      <c r="M118" s="13"/>
      <c r="N118" s="182"/>
      <c r="O118" s="63"/>
      <c r="P118" s="189"/>
      <c r="Q118" s="189"/>
    </row>
    <row r="119" spans="1:31" x14ac:dyDescent="0.25">
      <c r="M119" s="13"/>
      <c r="N119" s="182"/>
      <c r="O119" s="63"/>
      <c r="P119" s="189"/>
      <c r="Q119" s="189"/>
    </row>
    <row r="120" spans="1:31" x14ac:dyDescent="0.25">
      <c r="M120" s="13"/>
      <c r="N120" s="182"/>
      <c r="O120" s="63"/>
      <c r="P120" s="189"/>
      <c r="Q120" s="189"/>
    </row>
    <row r="121" spans="1:31" x14ac:dyDescent="0.25">
      <c r="M121" s="13"/>
      <c r="N121" s="182"/>
      <c r="O121" s="63"/>
      <c r="P121" s="189"/>
      <c r="Q121" s="189"/>
    </row>
    <row r="122" spans="1:31" x14ac:dyDescent="0.25">
      <c r="M122" s="13"/>
      <c r="N122" s="182"/>
      <c r="O122" s="63"/>
      <c r="P122" s="189"/>
      <c r="Q122" s="189"/>
    </row>
    <row r="123" spans="1:31" x14ac:dyDescent="0.25">
      <c r="M123" s="13"/>
      <c r="N123" s="182"/>
      <c r="O123" s="63"/>
      <c r="P123" s="189"/>
      <c r="Q123" s="189"/>
    </row>
    <row r="124" spans="1:31" x14ac:dyDescent="0.25">
      <c r="M124" s="13"/>
      <c r="N124" s="182"/>
      <c r="O124" s="63"/>
      <c r="P124" s="189"/>
      <c r="Q124" s="189"/>
    </row>
    <row r="125" spans="1:31" x14ac:dyDescent="0.25">
      <c r="M125" s="13"/>
      <c r="N125" s="182"/>
      <c r="O125" s="63"/>
      <c r="P125" s="189"/>
      <c r="Q125" s="189"/>
    </row>
    <row r="126" spans="1:31" x14ac:dyDescent="0.25">
      <c r="M126" s="13"/>
      <c r="N126" s="182"/>
      <c r="O126" s="63"/>
      <c r="P126" s="189"/>
      <c r="Q126" s="189"/>
    </row>
    <row r="127" spans="1:31" x14ac:dyDescent="0.25">
      <c r="M127" s="13"/>
      <c r="N127" s="182"/>
      <c r="O127" s="63"/>
      <c r="P127" s="189"/>
      <c r="Q127" s="189"/>
    </row>
    <row r="128" spans="1:31" x14ac:dyDescent="0.25">
      <c r="M128" s="13"/>
      <c r="N128" s="182"/>
      <c r="O128" s="63"/>
      <c r="P128" s="189"/>
      <c r="Q128" s="189"/>
    </row>
    <row r="129" spans="13:17" x14ac:dyDescent="0.25">
      <c r="M129" s="13"/>
      <c r="N129" s="182"/>
      <c r="O129" s="63"/>
      <c r="P129" s="189"/>
      <c r="Q129" s="189"/>
    </row>
    <row r="130" spans="13:17" x14ac:dyDescent="0.25">
      <c r="M130" s="13"/>
      <c r="N130" s="182"/>
      <c r="O130" s="63"/>
      <c r="P130" s="189"/>
      <c r="Q130" s="189"/>
    </row>
    <row r="131" spans="13:17" x14ac:dyDescent="0.25">
      <c r="M131" s="13"/>
      <c r="N131" s="182"/>
      <c r="O131" s="63"/>
      <c r="P131" s="189"/>
      <c r="Q131" s="189"/>
    </row>
    <row r="132" spans="13:17" x14ac:dyDescent="0.25">
      <c r="M132" s="13"/>
      <c r="N132" s="182"/>
      <c r="O132" s="63"/>
      <c r="P132" s="189"/>
      <c r="Q132" s="189"/>
    </row>
    <row r="133" spans="13:17" x14ac:dyDescent="0.25">
      <c r="M133" s="13"/>
      <c r="N133" s="182"/>
      <c r="O133" s="63"/>
      <c r="P133" s="189"/>
      <c r="Q133" s="189"/>
    </row>
    <row r="134" spans="13:17" x14ac:dyDescent="0.25">
      <c r="M134" s="13"/>
      <c r="N134" s="182"/>
      <c r="O134" s="63"/>
      <c r="P134" s="189"/>
      <c r="Q134" s="189"/>
    </row>
    <row r="135" spans="13:17" x14ac:dyDescent="0.25">
      <c r="M135" s="13"/>
      <c r="N135" s="182"/>
      <c r="O135" s="63"/>
      <c r="P135" s="189"/>
      <c r="Q135" s="189"/>
    </row>
    <row r="136" spans="13:17" x14ac:dyDescent="0.25">
      <c r="M136" s="13"/>
      <c r="N136" s="182"/>
      <c r="O136" s="63"/>
      <c r="P136" s="189"/>
      <c r="Q136" s="189"/>
    </row>
    <row r="137" spans="13:17" x14ac:dyDescent="0.25">
      <c r="M137" s="13"/>
      <c r="N137" s="182"/>
      <c r="O137" s="63"/>
      <c r="P137" s="189"/>
      <c r="Q137" s="189"/>
    </row>
    <row r="138" spans="13:17" x14ac:dyDescent="0.25">
      <c r="M138" s="13"/>
      <c r="N138" s="182"/>
      <c r="O138" s="63"/>
      <c r="P138" s="189"/>
      <c r="Q138" s="189"/>
    </row>
    <row r="139" spans="13:17" x14ac:dyDescent="0.25">
      <c r="M139" s="13"/>
      <c r="N139" s="182"/>
      <c r="O139" s="63"/>
      <c r="P139" s="189"/>
      <c r="Q139" s="189"/>
    </row>
    <row r="140" spans="13:17" x14ac:dyDescent="0.25">
      <c r="M140" s="13"/>
      <c r="N140" s="182"/>
      <c r="O140" s="63"/>
      <c r="P140" s="189"/>
      <c r="Q140" s="189"/>
    </row>
    <row r="141" spans="13:17" x14ac:dyDescent="0.25">
      <c r="M141" s="13"/>
      <c r="N141" s="182"/>
      <c r="O141" s="63"/>
      <c r="P141" s="189"/>
      <c r="Q141" s="189"/>
    </row>
    <row r="142" spans="13:17" x14ac:dyDescent="0.25">
      <c r="M142" s="13"/>
      <c r="N142" s="182"/>
      <c r="O142" s="63"/>
      <c r="P142" s="189"/>
      <c r="Q142" s="189"/>
    </row>
    <row r="143" spans="13:17" x14ac:dyDescent="0.25">
      <c r="M143" s="13"/>
      <c r="N143" s="182"/>
      <c r="O143" s="63"/>
      <c r="P143" s="189"/>
      <c r="Q143" s="189"/>
    </row>
    <row r="144" spans="13:17" x14ac:dyDescent="0.25">
      <c r="M144" s="13"/>
      <c r="N144" s="182"/>
      <c r="O144" s="63"/>
      <c r="P144" s="189"/>
      <c r="Q144" s="189"/>
    </row>
    <row r="145" spans="13:17" x14ac:dyDescent="0.25">
      <c r="M145" s="13"/>
      <c r="N145" s="182"/>
      <c r="O145" s="63"/>
      <c r="P145" s="189"/>
      <c r="Q145" s="189"/>
    </row>
    <row r="146" spans="13:17" x14ac:dyDescent="0.25">
      <c r="M146" s="13"/>
      <c r="N146" s="182"/>
      <c r="O146" s="63"/>
      <c r="P146" s="189"/>
      <c r="Q146" s="189"/>
    </row>
    <row r="147" spans="13:17" x14ac:dyDescent="0.25">
      <c r="M147" s="13"/>
      <c r="N147" s="182"/>
      <c r="O147" s="63"/>
      <c r="P147" s="189"/>
      <c r="Q147" s="189"/>
    </row>
    <row r="148" spans="13:17" x14ac:dyDescent="0.25">
      <c r="M148" s="13"/>
      <c r="N148" s="182"/>
      <c r="O148" s="63"/>
      <c r="P148" s="189"/>
      <c r="Q148" s="189"/>
    </row>
    <row r="149" spans="13:17" x14ac:dyDescent="0.25">
      <c r="M149" s="13"/>
      <c r="N149" s="182"/>
      <c r="O149" s="63"/>
      <c r="P149" s="189"/>
      <c r="Q149" s="189"/>
    </row>
    <row r="150" spans="13:17" x14ac:dyDescent="0.25">
      <c r="M150" s="13"/>
      <c r="N150" s="182"/>
      <c r="O150" s="63"/>
      <c r="P150" s="189"/>
      <c r="Q150" s="189"/>
    </row>
    <row r="151" spans="13:17" x14ac:dyDescent="0.25">
      <c r="M151" s="13"/>
      <c r="N151" s="182"/>
      <c r="O151" s="63"/>
      <c r="P151" s="189"/>
      <c r="Q151" s="189"/>
    </row>
    <row r="152" spans="13:17" x14ac:dyDescent="0.25">
      <c r="M152" s="13"/>
      <c r="N152" s="182"/>
      <c r="O152" s="63"/>
      <c r="P152" s="189"/>
      <c r="Q152" s="189"/>
    </row>
    <row r="153" spans="13:17" x14ac:dyDescent="0.25">
      <c r="M153" s="13"/>
      <c r="N153" s="182"/>
      <c r="O153" s="63"/>
      <c r="P153" s="189"/>
      <c r="Q153" s="189"/>
    </row>
    <row r="154" spans="13:17" x14ac:dyDescent="0.25">
      <c r="M154" s="13"/>
      <c r="N154" s="182"/>
      <c r="O154" s="63"/>
      <c r="P154" s="189"/>
      <c r="Q154" s="189"/>
    </row>
    <row r="155" spans="13:17" x14ac:dyDescent="0.25">
      <c r="M155" s="13"/>
      <c r="N155" s="182"/>
      <c r="O155" s="63"/>
      <c r="P155" s="189"/>
      <c r="Q155" s="189"/>
    </row>
    <row r="156" spans="13:17" x14ac:dyDescent="0.25">
      <c r="M156" s="13"/>
      <c r="N156" s="182"/>
      <c r="O156" s="63"/>
      <c r="P156" s="189"/>
      <c r="Q156" s="189"/>
    </row>
    <row r="157" spans="13:17" x14ac:dyDescent="0.25">
      <c r="M157" s="13"/>
      <c r="N157" s="182"/>
      <c r="O157" s="63"/>
      <c r="P157" s="189"/>
      <c r="Q157" s="189"/>
    </row>
    <row r="158" spans="13:17" x14ac:dyDescent="0.25">
      <c r="M158" s="13"/>
      <c r="N158" s="182"/>
      <c r="O158" s="63"/>
      <c r="P158" s="189"/>
      <c r="Q158" s="189"/>
    </row>
    <row r="159" spans="13:17" x14ac:dyDescent="0.25">
      <c r="M159" s="13"/>
      <c r="N159" s="182"/>
      <c r="O159" s="63"/>
      <c r="P159" s="189"/>
      <c r="Q159" s="189"/>
    </row>
    <row r="160" spans="13:17" x14ac:dyDescent="0.25">
      <c r="M160" s="13"/>
      <c r="N160" s="182"/>
      <c r="O160" s="63"/>
      <c r="P160" s="189"/>
      <c r="Q160" s="189"/>
    </row>
    <row r="161" spans="13:17" x14ac:dyDescent="0.25">
      <c r="M161" s="13"/>
      <c r="N161" s="182"/>
      <c r="O161" s="63"/>
      <c r="P161" s="189"/>
      <c r="Q161" s="189"/>
    </row>
    <row r="162" spans="13:17" x14ac:dyDescent="0.25">
      <c r="M162" s="13"/>
      <c r="N162" s="182"/>
      <c r="O162" s="63"/>
      <c r="P162" s="189"/>
      <c r="Q162" s="189"/>
    </row>
    <row r="163" spans="13:17" x14ac:dyDescent="0.25">
      <c r="M163" s="13"/>
      <c r="N163" s="182"/>
      <c r="O163" s="63"/>
      <c r="P163" s="189"/>
      <c r="Q163" s="189"/>
    </row>
    <row r="164" spans="13:17" x14ac:dyDescent="0.25">
      <c r="M164" s="13"/>
      <c r="N164" s="182"/>
      <c r="O164" s="63"/>
      <c r="P164" s="189"/>
      <c r="Q164" s="189"/>
    </row>
    <row r="165" spans="13:17" x14ac:dyDescent="0.25">
      <c r="M165" s="13"/>
      <c r="N165" s="182"/>
      <c r="O165" s="63"/>
      <c r="P165" s="189"/>
      <c r="Q165" s="189"/>
    </row>
    <row r="166" spans="13:17" x14ac:dyDescent="0.25">
      <c r="M166" s="13"/>
      <c r="N166" s="182"/>
      <c r="O166" s="63"/>
      <c r="P166" s="189"/>
      <c r="Q166" s="189"/>
    </row>
    <row r="167" spans="13:17" x14ac:dyDescent="0.25">
      <c r="M167" s="13"/>
      <c r="N167" s="182"/>
      <c r="O167" s="63"/>
      <c r="P167" s="189"/>
      <c r="Q167" s="189"/>
    </row>
    <row r="168" spans="13:17" x14ac:dyDescent="0.25">
      <c r="M168" s="13"/>
      <c r="N168" s="182"/>
      <c r="O168" s="63"/>
      <c r="P168" s="189"/>
      <c r="Q168" s="189"/>
    </row>
    <row r="169" spans="13:17" x14ac:dyDescent="0.25">
      <c r="M169" s="13"/>
      <c r="N169" s="182"/>
      <c r="O169" s="63"/>
      <c r="P169" s="189"/>
      <c r="Q169" s="189"/>
    </row>
    <row r="170" spans="13:17" x14ac:dyDescent="0.25">
      <c r="M170" s="13"/>
      <c r="N170" s="182"/>
      <c r="O170" s="63"/>
      <c r="P170" s="189"/>
      <c r="Q170" s="189"/>
    </row>
    <row r="171" spans="13:17" x14ac:dyDescent="0.25">
      <c r="M171" s="13"/>
      <c r="N171" s="182"/>
      <c r="O171" s="63"/>
      <c r="P171" s="189"/>
      <c r="Q171" s="189"/>
    </row>
    <row r="172" spans="13:17" x14ac:dyDescent="0.25">
      <c r="M172" s="13"/>
      <c r="N172" s="182"/>
      <c r="O172" s="63"/>
      <c r="P172" s="189"/>
      <c r="Q172" s="189"/>
    </row>
    <row r="173" spans="13:17" x14ac:dyDescent="0.25">
      <c r="M173" s="13"/>
      <c r="N173" s="182"/>
      <c r="O173" s="63"/>
      <c r="P173" s="189"/>
      <c r="Q173" s="189"/>
    </row>
    <row r="174" spans="13:17" x14ac:dyDescent="0.25">
      <c r="M174" s="13"/>
      <c r="N174" s="182"/>
      <c r="O174" s="63"/>
      <c r="P174" s="189"/>
      <c r="Q174" s="189"/>
    </row>
    <row r="175" spans="13:17" x14ac:dyDescent="0.25">
      <c r="M175" s="13"/>
      <c r="N175" s="182"/>
      <c r="O175" s="63"/>
      <c r="P175" s="189"/>
      <c r="Q175" s="189"/>
    </row>
    <row r="176" spans="13:17" x14ac:dyDescent="0.25">
      <c r="M176" s="13"/>
      <c r="N176" s="182"/>
      <c r="O176" s="63"/>
      <c r="P176" s="189"/>
      <c r="Q176" s="189"/>
    </row>
    <row r="177" spans="13:17" x14ac:dyDescent="0.25">
      <c r="M177" s="13"/>
      <c r="N177" s="182"/>
      <c r="O177" s="63"/>
      <c r="P177" s="189"/>
      <c r="Q177" s="189"/>
    </row>
    <row r="178" spans="13:17" x14ac:dyDescent="0.25">
      <c r="M178" s="13"/>
      <c r="N178" s="182"/>
      <c r="O178" s="63"/>
      <c r="P178" s="189"/>
      <c r="Q178" s="189"/>
    </row>
    <row r="179" spans="13:17" x14ac:dyDescent="0.25">
      <c r="M179" s="13"/>
      <c r="N179" s="182"/>
      <c r="O179" s="63"/>
      <c r="P179" s="189"/>
      <c r="Q179" s="189"/>
    </row>
    <row r="180" spans="13:17" x14ac:dyDescent="0.25">
      <c r="M180" s="13"/>
      <c r="N180" s="182"/>
      <c r="O180" s="63"/>
      <c r="P180" s="189"/>
      <c r="Q180" s="189"/>
    </row>
    <row r="181" spans="13:17" x14ac:dyDescent="0.25">
      <c r="M181" s="13"/>
      <c r="N181" s="182"/>
      <c r="O181" s="63"/>
      <c r="P181" s="189"/>
      <c r="Q181" s="189"/>
    </row>
    <row r="182" spans="13:17" x14ac:dyDescent="0.25">
      <c r="M182" s="13"/>
      <c r="N182" s="182"/>
      <c r="O182" s="63"/>
      <c r="P182" s="189"/>
      <c r="Q182" s="189"/>
    </row>
    <row r="183" spans="13:17" x14ac:dyDescent="0.25">
      <c r="M183" s="13"/>
      <c r="N183" s="182"/>
      <c r="O183" s="63"/>
      <c r="P183" s="189"/>
      <c r="Q183" s="189"/>
    </row>
    <row r="184" spans="13:17" x14ac:dyDescent="0.25">
      <c r="M184" s="13"/>
      <c r="N184" s="182"/>
      <c r="O184" s="63"/>
      <c r="P184" s="189"/>
      <c r="Q184" s="189"/>
    </row>
    <row r="185" spans="13:17" x14ac:dyDescent="0.25">
      <c r="M185" s="13"/>
      <c r="N185" s="182"/>
      <c r="O185" s="63"/>
      <c r="P185" s="189"/>
      <c r="Q185" s="189"/>
    </row>
    <row r="186" spans="13:17" x14ac:dyDescent="0.25">
      <c r="M186" s="13"/>
      <c r="N186" s="182"/>
      <c r="O186" s="63"/>
      <c r="P186" s="189"/>
      <c r="Q186" s="189"/>
    </row>
    <row r="187" spans="13:17" x14ac:dyDescent="0.25">
      <c r="M187" s="13"/>
      <c r="N187" s="182"/>
      <c r="O187" s="63"/>
      <c r="P187" s="189"/>
      <c r="Q187" s="189"/>
    </row>
    <row r="188" spans="13:17" x14ac:dyDescent="0.25">
      <c r="M188" s="13"/>
      <c r="N188" s="182"/>
      <c r="O188" s="63"/>
      <c r="P188" s="189"/>
      <c r="Q188" s="189"/>
    </row>
    <row r="189" spans="13:17" x14ac:dyDescent="0.25">
      <c r="M189" s="13"/>
      <c r="N189" s="182"/>
      <c r="O189" s="63"/>
      <c r="P189" s="189"/>
      <c r="Q189" s="189"/>
    </row>
    <row r="190" spans="13:17" x14ac:dyDescent="0.25">
      <c r="M190" s="13"/>
      <c r="N190" s="182"/>
      <c r="O190" s="63"/>
      <c r="P190" s="189"/>
      <c r="Q190" s="189"/>
    </row>
    <row r="191" spans="13:17" x14ac:dyDescent="0.25">
      <c r="M191" s="13"/>
      <c r="N191" s="182"/>
      <c r="O191" s="63"/>
      <c r="P191" s="189"/>
      <c r="Q191" s="189"/>
    </row>
    <row r="192" spans="13:17" x14ac:dyDescent="0.25">
      <c r="M192" s="13"/>
      <c r="N192" s="182"/>
      <c r="O192" s="63"/>
      <c r="P192" s="189"/>
      <c r="Q192" s="189"/>
    </row>
    <row r="193" spans="13:17" x14ac:dyDescent="0.25">
      <c r="M193" s="13"/>
      <c r="N193" s="182"/>
      <c r="O193" s="63"/>
      <c r="P193" s="189"/>
      <c r="Q193" s="189"/>
    </row>
    <row r="194" spans="13:17" x14ac:dyDescent="0.25">
      <c r="M194" s="13"/>
      <c r="N194" s="182"/>
      <c r="O194" s="63"/>
      <c r="P194" s="189"/>
      <c r="Q194" s="189"/>
    </row>
    <row r="195" spans="13:17" x14ac:dyDescent="0.25">
      <c r="M195" s="13"/>
      <c r="N195" s="182"/>
      <c r="O195" s="63"/>
      <c r="P195" s="189"/>
      <c r="Q195" s="189"/>
    </row>
    <row r="196" spans="13:17" x14ac:dyDescent="0.25">
      <c r="M196" s="13"/>
      <c r="N196" s="182"/>
      <c r="O196" s="63"/>
      <c r="P196" s="189"/>
      <c r="Q196" s="189"/>
    </row>
    <row r="197" spans="13:17" x14ac:dyDescent="0.25">
      <c r="M197" s="13"/>
      <c r="N197" s="182"/>
      <c r="O197" s="63"/>
      <c r="P197" s="189"/>
      <c r="Q197" s="189"/>
    </row>
    <row r="198" spans="13:17" x14ac:dyDescent="0.25">
      <c r="M198" s="13"/>
      <c r="N198" s="182"/>
      <c r="O198" s="63"/>
      <c r="P198" s="189"/>
      <c r="Q198" s="189"/>
    </row>
    <row r="199" spans="13:17" x14ac:dyDescent="0.25">
      <c r="M199" s="13"/>
      <c r="N199" s="182"/>
      <c r="O199" s="63"/>
      <c r="P199" s="189"/>
      <c r="Q199" s="189"/>
    </row>
    <row r="200" spans="13:17" x14ac:dyDescent="0.25">
      <c r="M200" s="13"/>
      <c r="N200" s="182"/>
      <c r="O200" s="63"/>
      <c r="P200" s="189"/>
      <c r="Q200" s="189"/>
    </row>
    <row r="201" spans="13:17" x14ac:dyDescent="0.25">
      <c r="M201" s="13"/>
      <c r="N201" s="182"/>
      <c r="O201" s="63"/>
      <c r="P201" s="189"/>
      <c r="Q201" s="189"/>
    </row>
    <row r="202" spans="13:17" x14ac:dyDescent="0.25">
      <c r="M202" s="13"/>
      <c r="N202" s="182"/>
      <c r="O202" s="63"/>
      <c r="P202" s="189"/>
      <c r="Q202" s="189"/>
    </row>
    <row r="203" spans="13:17" x14ac:dyDescent="0.25">
      <c r="M203" s="13"/>
      <c r="N203" s="182"/>
      <c r="O203" s="63"/>
      <c r="P203" s="189"/>
      <c r="Q203" s="189"/>
    </row>
    <row r="204" spans="13:17" x14ac:dyDescent="0.25">
      <c r="M204" s="13"/>
      <c r="N204" s="182"/>
      <c r="O204" s="63"/>
      <c r="P204" s="189"/>
      <c r="Q204" s="189"/>
    </row>
    <row r="205" spans="13:17" x14ac:dyDescent="0.25">
      <c r="M205" s="13"/>
      <c r="N205" s="182"/>
      <c r="O205" s="63"/>
      <c r="P205" s="189"/>
      <c r="Q205" s="189"/>
    </row>
    <row r="206" spans="13:17" x14ac:dyDescent="0.25">
      <c r="M206" s="13"/>
      <c r="N206" s="182"/>
      <c r="O206" s="63"/>
      <c r="P206" s="189"/>
      <c r="Q206" s="189"/>
    </row>
    <row r="207" spans="13:17" x14ac:dyDescent="0.25">
      <c r="M207" s="13"/>
      <c r="N207" s="182"/>
      <c r="O207" s="63"/>
      <c r="P207" s="189"/>
      <c r="Q207" s="189"/>
    </row>
    <row r="208" spans="13:17" x14ac:dyDescent="0.25">
      <c r="M208" s="13"/>
      <c r="N208" s="182"/>
      <c r="O208" s="63"/>
      <c r="P208" s="189"/>
      <c r="Q208" s="189"/>
    </row>
  </sheetData>
  <mergeCells count="6">
    <mergeCell ref="AB28:AC28"/>
    <mergeCell ref="X30:X33"/>
    <mergeCell ref="Y30:AA30"/>
    <mergeCell ref="AB30:AC30"/>
    <mergeCell ref="Y27:Z27"/>
    <mergeCell ref="Y28:AA28"/>
  </mergeCells>
  <conditionalFormatting sqref="F4:F19 H4:I19 M4:Q19">
    <cfRule type="containsBlanks" dxfId="2" priority="3">
      <formula>LEN(TRIM(F4))=0</formula>
    </cfRule>
  </conditionalFormatting>
  <conditionalFormatting sqref="R25 T25">
    <cfRule type="cellIs" dxfId="1" priority="2" operator="notEqual">
      <formula>"ok"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ectAndSave_dipendenti">
                <anchor moveWithCells="1" sizeWithCells="1">
                  <from>
                    <xdr:col>25</xdr:col>
                    <xdr:colOff>53340</xdr:colOff>
                    <xdr:row>8</xdr:row>
                    <xdr:rowOff>68580</xdr:rowOff>
                  </from>
                  <to>
                    <xdr:col>25</xdr:col>
                    <xdr:colOff>2293620</xdr:colOff>
                    <xdr:row>11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3"/>
  <dimension ref="A1:AJ105"/>
  <sheetViews>
    <sheetView workbookViewId="0">
      <selection activeCell="T20" sqref="T20"/>
    </sheetView>
  </sheetViews>
  <sheetFormatPr defaultRowHeight="13.2" x14ac:dyDescent="0.25"/>
  <cols>
    <col min="1" max="1" width="1.77734375" style="247" customWidth="1"/>
    <col min="2" max="2" width="2.88671875" customWidth="1"/>
    <col min="4" max="4" width="53" bestFit="1" customWidth="1"/>
    <col min="5" max="5" width="11.33203125" style="154" customWidth="1"/>
    <col min="6" max="7" width="11.5546875" style="154" bestFit="1" customWidth="1"/>
    <col min="8" max="8" width="11.33203125" style="154" customWidth="1"/>
    <col min="9" max="9" width="12.6640625" style="154" bestFit="1" customWidth="1"/>
    <col min="10" max="10" width="13.109375" style="56" bestFit="1" customWidth="1"/>
    <col min="11" max="11" width="4.21875" customWidth="1"/>
    <col min="12" max="12" width="1.77734375" style="247" customWidth="1"/>
    <col min="13" max="13" width="9.5546875" style="231" bestFit="1" customWidth="1"/>
    <col min="14" max="15" width="4.77734375" bestFit="1" customWidth="1"/>
  </cols>
  <sheetData>
    <row r="1" spans="1:36" s="247" customFormat="1" ht="9" customHeight="1" x14ac:dyDescent="0.25">
      <c r="A1" s="245"/>
      <c r="B1" s="259"/>
      <c r="C1" s="245"/>
      <c r="D1" s="314"/>
      <c r="E1" s="314"/>
      <c r="F1" s="314"/>
      <c r="G1" s="314"/>
      <c r="H1" s="314"/>
      <c r="I1" s="314"/>
      <c r="J1" s="314"/>
      <c r="K1" s="245"/>
      <c r="L1" s="245"/>
      <c r="M1" s="249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B1" s="249"/>
      <c r="AC1" s="249"/>
      <c r="AD1" s="249"/>
      <c r="AE1" s="249"/>
      <c r="AF1" s="249"/>
      <c r="AG1" s="249"/>
      <c r="AH1" s="249"/>
      <c r="AI1" s="249"/>
      <c r="AJ1" s="249"/>
    </row>
    <row r="2" spans="1:36" s="1" customFormat="1" ht="21" x14ac:dyDescent="0.25">
      <c r="A2" s="245"/>
      <c r="B2" s="318" t="s">
        <v>211</v>
      </c>
      <c r="C2" s="83"/>
      <c r="D2" s="272" t="s">
        <v>109</v>
      </c>
      <c r="E2" s="272"/>
      <c r="F2" s="272"/>
      <c r="G2" s="272"/>
      <c r="H2" s="272"/>
      <c r="I2" s="158"/>
      <c r="J2" s="206"/>
      <c r="K2" s="81"/>
      <c r="L2" s="245"/>
      <c r="M2" s="236"/>
    </row>
    <row r="3" spans="1:36" s="1" customFormat="1" ht="13.2" customHeight="1" thickBot="1" x14ac:dyDescent="0.3">
      <c r="A3" s="245"/>
      <c r="B3" s="81"/>
      <c r="C3" s="83"/>
      <c r="D3" s="86"/>
      <c r="E3" s="146"/>
      <c r="F3" s="146"/>
      <c r="G3" s="146"/>
      <c r="H3" s="146"/>
      <c r="I3" s="146"/>
      <c r="J3" s="207"/>
      <c r="K3" s="81"/>
      <c r="L3" s="245"/>
      <c r="M3" s="188"/>
      <c r="N3" s="229"/>
      <c r="O3" s="229"/>
    </row>
    <row r="4" spans="1:36" s="228" customFormat="1" ht="38.4" thickBot="1" x14ac:dyDescent="0.3">
      <c r="A4" s="245"/>
      <c r="B4" s="143"/>
      <c r="D4" s="145"/>
      <c r="E4" s="147" t="s">
        <v>113</v>
      </c>
      <c r="F4" s="147" t="s">
        <v>112</v>
      </c>
      <c r="G4" s="147" t="s">
        <v>111</v>
      </c>
      <c r="H4" s="157" t="s">
        <v>110</v>
      </c>
      <c r="I4" s="147" t="s">
        <v>204</v>
      </c>
      <c r="J4" s="208" t="s">
        <v>19</v>
      </c>
      <c r="K4" s="143"/>
      <c r="L4" s="245"/>
      <c r="M4" s="230"/>
    </row>
    <row r="5" spans="1:36" s="1" customFormat="1" x14ac:dyDescent="0.25">
      <c r="A5" s="245"/>
      <c r="B5" s="81"/>
      <c r="C5" s="276" t="s">
        <v>119</v>
      </c>
      <c r="D5" s="41" t="s">
        <v>114</v>
      </c>
      <c r="E5" s="156"/>
      <c r="F5" s="156"/>
      <c r="G5" s="156"/>
      <c r="H5" s="235">
        <f>IF(OR(E5=0,F5=0,G5=0),0,AVERAGE(E5:G5))</f>
        <v>0</v>
      </c>
      <c r="I5" s="152"/>
      <c r="J5" s="233">
        <f>I5-H5</f>
        <v>0</v>
      </c>
      <c r="K5" s="81"/>
      <c r="L5" s="245"/>
      <c r="M5" s="231"/>
    </row>
    <row r="6" spans="1:36" s="1" customFormat="1" x14ac:dyDescent="0.25">
      <c r="A6" s="245"/>
      <c r="B6" s="81"/>
      <c r="C6" s="277"/>
      <c r="D6" s="41" t="s">
        <v>115</v>
      </c>
      <c r="E6" s="156"/>
      <c r="F6" s="156"/>
      <c r="G6" s="156"/>
      <c r="H6" s="235">
        <f t="shared" ref="H6:H8" si="0">IF(OR(E6=0,F6=0,G6=0),0,AVERAGE(E6:G6))</f>
        <v>0</v>
      </c>
      <c r="I6" s="152"/>
      <c r="J6" s="233">
        <f t="shared" ref="J6:J8" si="1">I6-H6</f>
        <v>0</v>
      </c>
      <c r="K6" s="81"/>
      <c r="L6" s="245"/>
      <c r="M6" s="231"/>
    </row>
    <row r="7" spans="1:36" s="1" customFormat="1" x14ac:dyDescent="0.25">
      <c r="A7" s="245"/>
      <c r="B7" s="81"/>
      <c r="C7" s="277"/>
      <c r="D7" s="41" t="s">
        <v>116</v>
      </c>
      <c r="E7" s="151"/>
      <c r="F7" s="151"/>
      <c r="G7" s="151"/>
      <c r="H7" s="235">
        <f t="shared" si="0"/>
        <v>0</v>
      </c>
      <c r="I7" s="152"/>
      <c r="J7" s="233">
        <f t="shared" si="1"/>
        <v>0</v>
      </c>
      <c r="K7" s="81"/>
      <c r="L7" s="245"/>
      <c r="M7" s="231"/>
    </row>
    <row r="8" spans="1:36" s="1" customFormat="1" x14ac:dyDescent="0.25">
      <c r="A8" s="245"/>
      <c r="B8" s="81"/>
      <c r="C8" s="277"/>
      <c r="D8" s="41" t="s">
        <v>117</v>
      </c>
      <c r="E8" s="156"/>
      <c r="F8" s="156"/>
      <c r="G8" s="156"/>
      <c r="H8" s="235">
        <f t="shared" si="0"/>
        <v>0</v>
      </c>
      <c r="I8" s="152"/>
      <c r="J8" s="233">
        <f t="shared" si="1"/>
        <v>0</v>
      </c>
      <c r="K8" s="81"/>
      <c r="L8" s="245"/>
      <c r="M8" s="231"/>
    </row>
    <row r="9" spans="1:36" s="64" customFormat="1" ht="13.8" thickBot="1" x14ac:dyDescent="0.3">
      <c r="A9" s="245"/>
      <c r="B9" s="87"/>
      <c r="C9" s="278"/>
      <c r="D9" s="68" t="s">
        <v>118</v>
      </c>
      <c r="E9" s="149">
        <f t="shared" ref="E9:H9" si="2">SUM(E5:E8)</f>
        <v>0</v>
      </c>
      <c r="F9" s="149">
        <f t="shared" si="2"/>
        <v>0</v>
      </c>
      <c r="G9" s="149">
        <f t="shared" si="2"/>
        <v>0</v>
      </c>
      <c r="H9" s="149">
        <f t="shared" si="2"/>
        <v>0</v>
      </c>
      <c r="I9" s="149">
        <f>SUM(I5:I8)</f>
        <v>0</v>
      </c>
      <c r="J9" s="209">
        <f>SUM(J5:J8)</f>
        <v>0</v>
      </c>
      <c r="K9" s="87"/>
      <c r="L9" s="245"/>
      <c r="M9" s="188"/>
    </row>
    <row r="10" spans="1:36" s="1" customFormat="1" x14ac:dyDescent="0.25">
      <c r="A10" s="245"/>
      <c r="B10" s="81"/>
      <c r="C10" s="279" t="s">
        <v>122</v>
      </c>
      <c r="D10" s="41" t="s">
        <v>120</v>
      </c>
      <c r="E10" s="148"/>
      <c r="F10" s="148"/>
      <c r="G10" s="148"/>
      <c r="H10" s="235">
        <f>IF(OR(E10=0,F10=0,G10=0),0,AVERAGE(E10:G10))</f>
        <v>0</v>
      </c>
      <c r="I10" s="152"/>
      <c r="J10" s="233">
        <f>I10-H10</f>
        <v>0</v>
      </c>
      <c r="K10" s="81"/>
      <c r="L10" s="245"/>
      <c r="M10" s="231"/>
    </row>
    <row r="11" spans="1:36" s="1" customFormat="1" x14ac:dyDescent="0.25">
      <c r="A11" s="245"/>
      <c r="B11" s="81"/>
      <c r="C11" s="280"/>
      <c r="D11" s="41" t="s">
        <v>20</v>
      </c>
      <c r="E11" s="148"/>
      <c r="F11" s="148"/>
      <c r="G11" s="148"/>
      <c r="H11" s="235">
        <f>IF(OR(E11=0,F11=0,G11=0),0,AVERAGE(E11:G11))</f>
        <v>0</v>
      </c>
      <c r="I11" s="152"/>
      <c r="J11" s="233">
        <f>I11-H11</f>
        <v>0</v>
      </c>
      <c r="K11" s="81"/>
      <c r="L11" s="245"/>
      <c r="M11" s="231"/>
    </row>
    <row r="12" spans="1:36" s="64" customFormat="1" ht="13.8" thickBot="1" x14ac:dyDescent="0.3">
      <c r="A12" s="245"/>
      <c r="B12" s="87"/>
      <c r="C12" s="281"/>
      <c r="D12" s="68" t="s">
        <v>121</v>
      </c>
      <c r="E12" s="149">
        <f t="shared" ref="E12:H12" si="3">SUM(E10:E11)</f>
        <v>0</v>
      </c>
      <c r="F12" s="149">
        <f t="shared" si="3"/>
        <v>0</v>
      </c>
      <c r="G12" s="149">
        <f t="shared" si="3"/>
        <v>0</v>
      </c>
      <c r="H12" s="149">
        <f t="shared" si="3"/>
        <v>0</v>
      </c>
      <c r="I12" s="149">
        <f>SUM(I10:I11)</f>
        <v>0</v>
      </c>
      <c r="J12" s="210">
        <f>SUM(J10:J11)</f>
        <v>0</v>
      </c>
      <c r="K12" s="87"/>
      <c r="L12" s="245"/>
      <c r="M12" s="188"/>
    </row>
    <row r="13" spans="1:36" s="1" customFormat="1" x14ac:dyDescent="0.25">
      <c r="A13" s="245"/>
      <c r="B13" s="81"/>
      <c r="C13" s="279" t="s">
        <v>123</v>
      </c>
      <c r="D13" s="42" t="s">
        <v>124</v>
      </c>
      <c r="E13" s="150"/>
      <c r="F13" s="150"/>
      <c r="G13" s="150"/>
      <c r="H13" s="235">
        <f>IF(OR(E13=0,F13=0,G13=0),0,AVERAGE(E13:G13))</f>
        <v>0</v>
      </c>
      <c r="I13" s="159">
        <f>extramuros!I9</f>
        <v>0</v>
      </c>
      <c r="J13" s="232">
        <f>I13-H13</f>
        <v>0</v>
      </c>
      <c r="K13" s="81"/>
      <c r="L13" s="245"/>
      <c r="M13" s="231"/>
    </row>
    <row r="14" spans="1:36" s="1" customFormat="1" x14ac:dyDescent="0.25">
      <c r="A14" s="245"/>
      <c r="B14" s="81"/>
      <c r="C14" s="280"/>
      <c r="D14" s="41" t="s">
        <v>22</v>
      </c>
      <c r="E14" s="148"/>
      <c r="F14" s="148"/>
      <c r="G14" s="148"/>
      <c r="H14" s="235">
        <f>IF(OR(E14=0,F14=0,G14=0),0,AVERAGE(E14:G14))</f>
        <v>0</v>
      </c>
      <c r="I14" s="152"/>
      <c r="J14" s="233">
        <f>I14-H14</f>
        <v>0</v>
      </c>
      <c r="K14" s="81"/>
      <c r="L14" s="245"/>
      <c r="M14" s="231"/>
    </row>
    <row r="15" spans="1:36" s="64" customFormat="1" ht="13.8" thickBot="1" x14ac:dyDescent="0.3">
      <c r="A15" s="245"/>
      <c r="B15" s="87"/>
      <c r="C15" s="281"/>
      <c r="D15" s="68" t="s">
        <v>125</v>
      </c>
      <c r="E15" s="149">
        <f t="shared" ref="E15:H15" si="4">SUM(E13:E14)</f>
        <v>0</v>
      </c>
      <c r="F15" s="149">
        <f t="shared" si="4"/>
        <v>0</v>
      </c>
      <c r="G15" s="149">
        <f t="shared" si="4"/>
        <v>0</v>
      </c>
      <c r="H15" s="149">
        <f t="shared" si="4"/>
        <v>0</v>
      </c>
      <c r="I15" s="149">
        <f>SUM(I13:I14)</f>
        <v>0</v>
      </c>
      <c r="J15" s="209">
        <f>SUM(J13:J14)</f>
        <v>0</v>
      </c>
      <c r="K15" s="87"/>
      <c r="L15" s="245"/>
      <c r="M15" s="188"/>
    </row>
    <row r="16" spans="1:36" s="1" customFormat="1" x14ac:dyDescent="0.25">
      <c r="A16" s="245"/>
      <c r="B16" s="81"/>
      <c r="C16" s="279" t="s">
        <v>126</v>
      </c>
      <c r="D16" s="39" t="s">
        <v>114</v>
      </c>
      <c r="E16" s="151"/>
      <c r="F16" s="151"/>
      <c r="G16" s="151"/>
      <c r="H16" s="235">
        <f>IF(OR(E16=0,F16=0,G16=0),0,AVERAGE(E16:G16))</f>
        <v>0</v>
      </c>
      <c r="I16" s="160">
        <f>dipendenti!T20</f>
        <v>0</v>
      </c>
      <c r="J16" s="212">
        <f>I16-H16</f>
        <v>0</v>
      </c>
      <c r="K16" s="81"/>
      <c r="L16" s="245"/>
      <c r="M16" s="231"/>
    </row>
    <row r="17" spans="1:36" s="1" customFormat="1" x14ac:dyDescent="0.25">
      <c r="A17" s="245"/>
      <c r="B17" s="81"/>
      <c r="C17" s="280"/>
      <c r="D17" s="40" t="s">
        <v>115</v>
      </c>
      <c r="E17" s="151"/>
      <c r="F17" s="151"/>
      <c r="G17" s="151"/>
      <c r="H17" s="235">
        <f t="shared" ref="H17:H19" si="5">IF(OR(E17=0,F17=0,G17=0),0,AVERAGE(E17:G17))</f>
        <v>0</v>
      </c>
      <c r="I17" s="155"/>
      <c r="J17" s="212">
        <f t="shared" ref="J17:J19" si="6">I17-H17</f>
        <v>0</v>
      </c>
      <c r="K17" s="81"/>
      <c r="L17" s="245"/>
      <c r="M17" s="231"/>
    </row>
    <row r="18" spans="1:36" s="1" customFormat="1" x14ac:dyDescent="0.25">
      <c r="A18" s="245"/>
      <c r="B18" s="81"/>
      <c r="C18" s="280"/>
      <c r="D18" s="40" t="s">
        <v>116</v>
      </c>
      <c r="E18" s="151"/>
      <c r="F18" s="151"/>
      <c r="G18" s="151"/>
      <c r="H18" s="235">
        <f t="shared" si="5"/>
        <v>0</v>
      </c>
      <c r="I18" s="155"/>
      <c r="J18" s="212">
        <f t="shared" si="6"/>
        <v>0</v>
      </c>
      <c r="K18" s="81"/>
      <c r="L18" s="245"/>
      <c r="M18" s="231"/>
    </row>
    <row r="19" spans="1:36" s="1" customFormat="1" x14ac:dyDescent="0.25">
      <c r="A19" s="245"/>
      <c r="B19" s="81"/>
      <c r="C19" s="280"/>
      <c r="D19" s="40" t="s">
        <v>23</v>
      </c>
      <c r="E19" s="152"/>
      <c r="F19" s="152"/>
      <c r="G19" s="152"/>
      <c r="H19" s="235">
        <f t="shared" si="5"/>
        <v>0</v>
      </c>
      <c r="I19" s="152"/>
      <c r="J19" s="212">
        <f t="shared" si="6"/>
        <v>0</v>
      </c>
      <c r="K19" s="81"/>
      <c r="L19" s="245"/>
      <c r="M19" s="231"/>
    </row>
    <row r="20" spans="1:36" s="64" customFormat="1" ht="13.8" thickBot="1" x14ac:dyDescent="0.3">
      <c r="A20" s="245"/>
      <c r="B20" s="87"/>
      <c r="C20" s="281"/>
      <c r="D20" s="69" t="s">
        <v>127</v>
      </c>
      <c r="E20" s="149">
        <f t="shared" ref="E20:J20" si="7">SUM(E16:E19)</f>
        <v>0</v>
      </c>
      <c r="F20" s="149">
        <f t="shared" si="7"/>
        <v>0</v>
      </c>
      <c r="G20" s="149">
        <f t="shared" si="7"/>
        <v>0</v>
      </c>
      <c r="H20" s="149">
        <f t="shared" si="7"/>
        <v>0</v>
      </c>
      <c r="I20" s="149">
        <f t="shared" si="7"/>
        <v>0</v>
      </c>
      <c r="J20" s="209">
        <f t="shared" si="7"/>
        <v>0</v>
      </c>
      <c r="K20" s="87"/>
      <c r="L20" s="245"/>
      <c r="M20" s="188"/>
    </row>
    <row r="21" spans="1:36" s="64" customFormat="1" x14ac:dyDescent="0.25">
      <c r="A21" s="245"/>
      <c r="B21" s="87"/>
      <c r="C21" s="88"/>
      <c r="D21" s="89"/>
      <c r="E21" s="153">
        <f t="shared" ref="E21:J21" si="8">E20+E15+E12+E9</f>
        <v>0</v>
      </c>
      <c r="F21" s="153">
        <f t="shared" si="8"/>
        <v>0</v>
      </c>
      <c r="G21" s="153">
        <f t="shared" si="8"/>
        <v>0</v>
      </c>
      <c r="H21" s="153">
        <f t="shared" si="8"/>
        <v>0</v>
      </c>
      <c r="I21" s="153">
        <f t="shared" si="8"/>
        <v>0</v>
      </c>
      <c r="J21" s="213">
        <f t="shared" si="8"/>
        <v>0</v>
      </c>
      <c r="K21" s="319" t="s">
        <v>211</v>
      </c>
      <c r="L21" s="245"/>
      <c r="M21" s="188"/>
    </row>
    <row r="22" spans="1:36" s="247" customFormat="1" ht="9" customHeight="1" x14ac:dyDescent="0.25">
      <c r="A22" s="245"/>
      <c r="B22" s="259"/>
      <c r="C22" s="245"/>
      <c r="D22" s="314"/>
      <c r="E22" s="314"/>
      <c r="F22" s="314"/>
      <c r="G22" s="314"/>
      <c r="H22" s="314"/>
      <c r="I22" s="314"/>
      <c r="J22" s="314"/>
      <c r="K22" s="245"/>
      <c r="L22" s="245"/>
      <c r="M22" s="249"/>
      <c r="N22" s="249"/>
      <c r="O22" s="249"/>
      <c r="P22" s="249"/>
      <c r="Q22" s="249"/>
      <c r="R22" s="249"/>
      <c r="S22" s="249"/>
      <c r="T22" s="249"/>
      <c r="U22" s="249"/>
      <c r="V22" s="249"/>
      <c r="W22" s="249"/>
      <c r="X22" s="249"/>
      <c r="Y22" s="249"/>
      <c r="Z22" s="249"/>
      <c r="AB22" s="249"/>
      <c r="AC22" s="249"/>
      <c r="AD22" s="249"/>
      <c r="AE22" s="249"/>
      <c r="AF22" s="249"/>
      <c r="AG22" s="249"/>
      <c r="AH22" s="249"/>
      <c r="AI22" s="249"/>
      <c r="AJ22" s="249"/>
    </row>
    <row r="23" spans="1:36" ht="21" x14ac:dyDescent="0.25">
      <c r="A23" s="245"/>
      <c r="B23" s="318" t="s">
        <v>211</v>
      </c>
      <c r="C23" s="83"/>
      <c r="D23" s="272" t="s">
        <v>109</v>
      </c>
      <c r="E23" s="272"/>
      <c r="F23" s="272"/>
      <c r="G23" s="272"/>
      <c r="H23" s="272"/>
      <c r="I23" s="158"/>
      <c r="J23" s="206"/>
      <c r="K23" s="81"/>
      <c r="L23" s="245"/>
    </row>
    <row r="24" spans="1:36" ht="13.2" customHeight="1" thickBot="1" x14ac:dyDescent="0.3">
      <c r="A24" s="245"/>
      <c r="B24" s="81"/>
      <c r="C24" s="83"/>
      <c r="D24" s="86"/>
      <c r="E24" s="146"/>
      <c r="F24" s="146"/>
      <c r="G24" s="146"/>
      <c r="H24" s="146"/>
      <c r="I24" s="146"/>
      <c r="J24" s="207"/>
      <c r="K24" s="81"/>
      <c r="L24" s="245"/>
      <c r="M24" s="188"/>
      <c r="N24" s="229"/>
      <c r="O24" s="229"/>
    </row>
    <row r="25" spans="1:36" s="144" customFormat="1" ht="38.4" thickBot="1" x14ac:dyDescent="0.3">
      <c r="A25" s="245"/>
      <c r="B25" s="143"/>
      <c r="D25" s="145"/>
      <c r="E25" s="147" t="s">
        <v>113</v>
      </c>
      <c r="F25" s="147" t="s">
        <v>112</v>
      </c>
      <c r="G25" s="147" t="s">
        <v>111</v>
      </c>
      <c r="H25" s="157" t="s">
        <v>110</v>
      </c>
      <c r="I25" s="147" t="s">
        <v>128</v>
      </c>
      <c r="J25" s="208" t="s">
        <v>19</v>
      </c>
      <c r="K25" s="143"/>
      <c r="L25" s="245"/>
      <c r="M25" s="230"/>
    </row>
    <row r="26" spans="1:36" x14ac:dyDescent="0.25">
      <c r="A26" s="245"/>
      <c r="B26" s="81"/>
      <c r="C26" s="276" t="s">
        <v>119</v>
      </c>
      <c r="D26" s="41" t="s">
        <v>114</v>
      </c>
      <c r="E26" s="156"/>
      <c r="F26" s="156"/>
      <c r="G26" s="156"/>
      <c r="H26" s="235">
        <f>IF(OR(E26=0,F26=0,G26=0),0,AVERAGE(E26:G26))</f>
        <v>0</v>
      </c>
      <c r="I26" s="160">
        <f>dipendenti!T20</f>
        <v>0</v>
      </c>
      <c r="J26" s="233">
        <f>I26-H26</f>
        <v>0</v>
      </c>
      <c r="K26" s="81"/>
      <c r="L26" s="245"/>
    </row>
    <row r="27" spans="1:36" x14ac:dyDescent="0.25">
      <c r="A27" s="245"/>
      <c r="B27" s="81"/>
      <c r="C27" s="277"/>
      <c r="D27" s="41" t="s">
        <v>115</v>
      </c>
      <c r="E27" s="156"/>
      <c r="F27" s="156"/>
      <c r="G27" s="156"/>
      <c r="H27" s="235">
        <f t="shared" ref="H27:H38" si="9">IF(OR(E27=0,F27=0,G27=0),0,AVERAGE(E27:G27))</f>
        <v>0</v>
      </c>
      <c r="I27" s="152"/>
      <c r="J27" s="233">
        <f t="shared" ref="J27:J29" si="10">I27-H27</f>
        <v>0</v>
      </c>
      <c r="K27" s="81"/>
      <c r="L27" s="245"/>
    </row>
    <row r="28" spans="1:36" x14ac:dyDescent="0.25">
      <c r="A28" s="245"/>
      <c r="B28" s="81"/>
      <c r="C28" s="277"/>
      <c r="D28" s="41" t="s">
        <v>116</v>
      </c>
      <c r="E28" s="156"/>
      <c r="F28" s="156"/>
      <c r="G28" s="156"/>
      <c r="H28" s="235">
        <f t="shared" si="9"/>
        <v>0</v>
      </c>
      <c r="I28" s="152"/>
      <c r="J28" s="233">
        <f t="shared" si="10"/>
        <v>0</v>
      </c>
      <c r="K28" s="81"/>
      <c r="L28" s="245"/>
    </row>
    <row r="29" spans="1:36" x14ac:dyDescent="0.25">
      <c r="A29" s="245"/>
      <c r="B29" s="81"/>
      <c r="C29" s="277"/>
      <c r="D29" s="41" t="s">
        <v>117</v>
      </c>
      <c r="E29" s="156"/>
      <c r="F29" s="156"/>
      <c r="G29" s="156"/>
      <c r="H29" s="235">
        <f t="shared" si="9"/>
        <v>0</v>
      </c>
      <c r="I29" s="152"/>
      <c r="J29" s="233">
        <f t="shared" si="10"/>
        <v>0</v>
      </c>
      <c r="K29" s="81"/>
      <c r="L29" s="245"/>
    </row>
    <row r="30" spans="1:36" s="64" customFormat="1" ht="13.8" thickBot="1" x14ac:dyDescent="0.3">
      <c r="A30" s="245"/>
      <c r="B30" s="87"/>
      <c r="C30" s="278"/>
      <c r="D30" s="68" t="s">
        <v>205</v>
      </c>
      <c r="E30" s="149">
        <f t="shared" ref="E30:H30" si="11">SUM(E26:E29)</f>
        <v>0</v>
      </c>
      <c r="F30" s="149">
        <f t="shared" si="11"/>
        <v>0</v>
      </c>
      <c r="G30" s="149">
        <f t="shared" si="11"/>
        <v>0</v>
      </c>
      <c r="H30" s="149">
        <f t="shared" si="11"/>
        <v>0</v>
      </c>
      <c r="I30" s="149">
        <f>SUM(I26:I29)</f>
        <v>0</v>
      </c>
      <c r="J30" s="240">
        <f>SUM(J26:J29)</f>
        <v>0</v>
      </c>
      <c r="K30" s="87"/>
      <c r="L30" s="245"/>
      <c r="M30" s="188"/>
    </row>
    <row r="31" spans="1:36" x14ac:dyDescent="0.25">
      <c r="A31" s="245"/>
      <c r="B31" s="81"/>
      <c r="C31" s="279" t="s">
        <v>122</v>
      </c>
      <c r="D31" s="41" t="s">
        <v>120</v>
      </c>
      <c r="E31" s="148"/>
      <c r="F31" s="148"/>
      <c r="G31" s="148"/>
      <c r="H31" s="235">
        <f t="shared" si="9"/>
        <v>0</v>
      </c>
      <c r="I31" s="152"/>
      <c r="J31" s="233">
        <f>I31-H31</f>
        <v>0</v>
      </c>
      <c r="K31" s="81"/>
      <c r="L31" s="245"/>
    </row>
    <row r="32" spans="1:36" x14ac:dyDescent="0.25">
      <c r="A32" s="245"/>
      <c r="B32" s="81"/>
      <c r="C32" s="280"/>
      <c r="D32" s="41" t="s">
        <v>20</v>
      </c>
      <c r="E32" s="148"/>
      <c r="F32" s="148"/>
      <c r="G32" s="148"/>
      <c r="H32" s="235">
        <f t="shared" si="9"/>
        <v>0</v>
      </c>
      <c r="I32" s="152"/>
      <c r="J32" s="233">
        <f>I32-H32</f>
        <v>0</v>
      </c>
      <c r="K32" s="81"/>
      <c r="L32" s="245"/>
    </row>
    <row r="33" spans="1:36" s="64" customFormat="1" ht="13.8" thickBot="1" x14ac:dyDescent="0.3">
      <c r="A33" s="245"/>
      <c r="B33" s="87"/>
      <c r="C33" s="281"/>
      <c r="D33" s="68" t="s">
        <v>121</v>
      </c>
      <c r="E33" s="149">
        <f t="shared" ref="E33:H33" si="12">SUM(E31:E32)</f>
        <v>0</v>
      </c>
      <c r="F33" s="149">
        <f t="shared" si="12"/>
        <v>0</v>
      </c>
      <c r="G33" s="149">
        <f t="shared" si="12"/>
        <v>0</v>
      </c>
      <c r="H33" s="149">
        <f t="shared" si="12"/>
        <v>0</v>
      </c>
      <c r="I33" s="149">
        <f>SUM(I31:I32)</f>
        <v>0</v>
      </c>
      <c r="J33" s="241">
        <f>SUM(J31:J32)</f>
        <v>0</v>
      </c>
      <c r="K33" s="87"/>
      <c r="L33" s="245"/>
      <c r="M33" s="188"/>
    </row>
    <row r="34" spans="1:36" x14ac:dyDescent="0.25">
      <c r="A34" s="245"/>
      <c r="B34" s="81"/>
      <c r="C34" s="279" t="s">
        <v>123</v>
      </c>
      <c r="D34" s="42" t="s">
        <v>124</v>
      </c>
      <c r="E34" s="150"/>
      <c r="F34" s="150"/>
      <c r="G34" s="150"/>
      <c r="H34" s="235">
        <f t="shared" si="9"/>
        <v>0</v>
      </c>
      <c r="I34" s="159">
        <f>extramuros!I9</f>
        <v>0</v>
      </c>
      <c r="J34" s="211">
        <f>I34-H34</f>
        <v>0</v>
      </c>
      <c r="K34" s="81"/>
      <c r="L34" s="245"/>
    </row>
    <row r="35" spans="1:36" x14ac:dyDescent="0.25">
      <c r="A35" s="245"/>
      <c r="B35" s="81"/>
      <c r="C35" s="280"/>
      <c r="D35" s="41" t="s">
        <v>22</v>
      </c>
      <c r="E35" s="148"/>
      <c r="F35" s="148"/>
      <c r="G35" s="148"/>
      <c r="H35" s="235">
        <f t="shared" si="9"/>
        <v>0</v>
      </c>
      <c r="I35" s="152"/>
      <c r="J35" s="212">
        <f>I35-H35</f>
        <v>0</v>
      </c>
      <c r="K35" s="81"/>
      <c r="L35" s="245"/>
    </row>
    <row r="36" spans="1:36" s="64" customFormat="1" ht="13.8" thickBot="1" x14ac:dyDescent="0.3">
      <c r="A36" s="245"/>
      <c r="B36" s="87"/>
      <c r="C36" s="281"/>
      <c r="D36" s="68" t="s">
        <v>125</v>
      </c>
      <c r="E36" s="149">
        <f t="shared" ref="E36:H36" si="13">SUM(E34:E35)</f>
        <v>0</v>
      </c>
      <c r="F36" s="149">
        <f t="shared" si="13"/>
        <v>0</v>
      </c>
      <c r="G36" s="149">
        <f t="shared" si="13"/>
        <v>0</v>
      </c>
      <c r="H36" s="149">
        <f t="shared" si="13"/>
        <v>0</v>
      </c>
      <c r="I36" s="149">
        <f>SUM(I34:I35)</f>
        <v>0</v>
      </c>
      <c r="J36" s="240">
        <f>SUM(J34:J35)</f>
        <v>0</v>
      </c>
      <c r="K36" s="87"/>
      <c r="L36" s="245"/>
      <c r="M36" s="188"/>
    </row>
    <row r="37" spans="1:36" x14ac:dyDescent="0.25">
      <c r="A37" s="245"/>
      <c r="B37" s="81"/>
      <c r="C37" s="279" t="s">
        <v>126</v>
      </c>
      <c r="D37" s="234" t="s">
        <v>206</v>
      </c>
      <c r="E37" s="152"/>
      <c r="F37" s="152"/>
      <c r="G37" s="152"/>
      <c r="H37" s="235">
        <f t="shared" si="9"/>
        <v>0</v>
      </c>
      <c r="I37" s="152"/>
      <c r="J37" s="212">
        <f>I37-H37</f>
        <v>0</v>
      </c>
      <c r="K37" s="81"/>
      <c r="L37" s="245"/>
    </row>
    <row r="38" spans="1:36" x14ac:dyDescent="0.25">
      <c r="A38" s="245"/>
      <c r="B38" s="81"/>
      <c r="C38" s="280"/>
      <c r="D38" s="40" t="s">
        <v>23</v>
      </c>
      <c r="E38" s="152"/>
      <c r="F38" s="152"/>
      <c r="G38" s="152"/>
      <c r="H38" s="235">
        <f t="shared" si="9"/>
        <v>0</v>
      </c>
      <c r="I38" s="152"/>
      <c r="J38" s="212">
        <f t="shared" ref="J38" si="14">I38-H38</f>
        <v>0</v>
      </c>
      <c r="K38" s="81"/>
      <c r="L38" s="245"/>
    </row>
    <row r="39" spans="1:36" s="64" customFormat="1" ht="13.8" thickBot="1" x14ac:dyDescent="0.3">
      <c r="A39" s="245"/>
      <c r="B39" s="87"/>
      <c r="C39" s="281"/>
      <c r="D39" s="69" t="s">
        <v>127</v>
      </c>
      <c r="E39" s="149">
        <f t="shared" ref="E39:J39" si="15">SUM(E37:E38)</f>
        <v>0</v>
      </c>
      <c r="F39" s="149">
        <f t="shared" si="15"/>
        <v>0</v>
      </c>
      <c r="G39" s="149">
        <f t="shared" si="15"/>
        <v>0</v>
      </c>
      <c r="H39" s="149">
        <f t="shared" si="15"/>
        <v>0</v>
      </c>
      <c r="I39" s="149">
        <f t="shared" si="15"/>
        <v>0</v>
      </c>
      <c r="J39" s="240">
        <f t="shared" si="15"/>
        <v>0</v>
      </c>
      <c r="K39" s="87"/>
      <c r="L39" s="245"/>
      <c r="M39" s="188"/>
    </row>
    <row r="40" spans="1:36" s="64" customFormat="1" x14ac:dyDescent="0.25">
      <c r="A40" s="245"/>
      <c r="B40" s="87"/>
      <c r="C40" s="88"/>
      <c r="D40" s="89"/>
      <c r="E40" s="153">
        <f t="shared" ref="E40:J40" si="16">E39+E36+E33+E30</f>
        <v>0</v>
      </c>
      <c r="F40" s="153">
        <f t="shared" si="16"/>
        <v>0</v>
      </c>
      <c r="G40" s="153">
        <f t="shared" si="16"/>
        <v>0</v>
      </c>
      <c r="H40" s="153">
        <f t="shared" si="16"/>
        <v>0</v>
      </c>
      <c r="I40" s="238">
        <f t="shared" si="16"/>
        <v>0</v>
      </c>
      <c r="J40" s="239">
        <f t="shared" si="16"/>
        <v>0</v>
      </c>
      <c r="K40" s="319" t="s">
        <v>211</v>
      </c>
      <c r="L40" s="245"/>
      <c r="M40" s="188"/>
    </row>
    <row r="41" spans="1:36" s="247" customFormat="1" ht="9" customHeight="1" x14ac:dyDescent="0.25">
      <c r="A41" s="245"/>
      <c r="B41" s="259"/>
      <c r="C41" s="245"/>
      <c r="D41" s="314"/>
      <c r="E41" s="314"/>
      <c r="F41" s="314"/>
      <c r="G41" s="314"/>
      <c r="H41" s="314"/>
      <c r="I41" s="314"/>
      <c r="J41" s="314"/>
      <c r="K41" s="245"/>
      <c r="L41" s="245"/>
      <c r="M41" s="249"/>
      <c r="N41" s="249"/>
      <c r="O41" s="249"/>
      <c r="P41" s="249"/>
      <c r="Q41" s="249"/>
      <c r="R41" s="249"/>
      <c r="S41" s="249"/>
      <c r="T41" s="249"/>
      <c r="U41" s="249"/>
      <c r="V41" s="249"/>
      <c r="W41" s="249"/>
      <c r="X41" s="249"/>
      <c r="Y41" s="249"/>
      <c r="Z41" s="249"/>
      <c r="AB41" s="249"/>
      <c r="AC41" s="249"/>
      <c r="AD41" s="249"/>
      <c r="AE41" s="249"/>
      <c r="AF41" s="249"/>
      <c r="AG41" s="249"/>
      <c r="AH41" s="249"/>
      <c r="AI41" s="249"/>
      <c r="AJ41" s="249"/>
    </row>
    <row r="42" spans="1:36" x14ac:dyDescent="0.25">
      <c r="A42" s="81"/>
      <c r="B42" s="81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81"/>
      <c r="N42" s="81"/>
      <c r="O42" s="81"/>
      <c r="P42" s="81"/>
    </row>
    <row r="43" spans="1:36" ht="14.4" x14ac:dyDescent="0.25">
      <c r="A43" s="248"/>
      <c r="L43" s="248"/>
    </row>
    <row r="44" spans="1:36" ht="14.4" x14ac:dyDescent="0.25">
      <c r="A44" s="248"/>
      <c r="L44" s="248"/>
    </row>
    <row r="45" spans="1:36" ht="14.4" x14ac:dyDescent="0.25">
      <c r="A45" s="248"/>
      <c r="L45" s="248"/>
    </row>
    <row r="46" spans="1:36" ht="14.4" x14ac:dyDescent="0.25">
      <c r="A46" s="248"/>
      <c r="L46" s="248"/>
    </row>
    <row r="47" spans="1:36" ht="14.4" x14ac:dyDescent="0.25">
      <c r="A47" s="248"/>
      <c r="L47" s="248"/>
    </row>
    <row r="48" spans="1:36" ht="14.4" x14ac:dyDescent="0.25">
      <c r="A48" s="248"/>
      <c r="L48" s="248"/>
    </row>
    <row r="49" spans="1:12" ht="14.4" x14ac:dyDescent="0.25">
      <c r="A49" s="248"/>
      <c r="L49" s="248"/>
    </row>
    <row r="50" spans="1:12" ht="14.4" x14ac:dyDescent="0.25">
      <c r="A50" s="248"/>
      <c r="L50" s="248"/>
    </row>
    <row r="51" spans="1:12" ht="14.4" x14ac:dyDescent="0.25">
      <c r="A51" s="248"/>
      <c r="L51" s="248"/>
    </row>
    <row r="52" spans="1:12" ht="14.4" x14ac:dyDescent="0.25">
      <c r="A52" s="248"/>
      <c r="L52" s="248"/>
    </row>
    <row r="53" spans="1:12" ht="14.4" x14ac:dyDescent="0.25">
      <c r="A53" s="248"/>
      <c r="L53" s="248"/>
    </row>
    <row r="54" spans="1:12" ht="14.4" x14ac:dyDescent="0.25">
      <c r="A54" s="248"/>
      <c r="L54" s="248"/>
    </row>
    <row r="55" spans="1:12" ht="14.4" x14ac:dyDescent="0.25">
      <c r="A55" s="248"/>
      <c r="L55" s="248"/>
    </row>
    <row r="56" spans="1:12" ht="14.4" x14ac:dyDescent="0.25">
      <c r="A56" s="248"/>
      <c r="L56" s="248"/>
    </row>
    <row r="57" spans="1:12" ht="14.4" x14ac:dyDescent="0.25">
      <c r="A57" s="248"/>
      <c r="L57" s="248"/>
    </row>
    <row r="58" spans="1:12" ht="14.4" x14ac:dyDescent="0.25">
      <c r="A58" s="248"/>
      <c r="L58" s="248"/>
    </row>
    <row r="59" spans="1:12" ht="14.4" x14ac:dyDescent="0.25">
      <c r="A59" s="248"/>
      <c r="L59" s="248"/>
    </row>
    <row r="60" spans="1:12" ht="14.4" x14ac:dyDescent="0.25">
      <c r="A60" s="248"/>
      <c r="L60" s="248"/>
    </row>
    <row r="61" spans="1:12" ht="14.4" x14ac:dyDescent="0.25">
      <c r="A61" s="248"/>
      <c r="L61" s="248"/>
    </row>
    <row r="62" spans="1:12" ht="14.4" x14ac:dyDescent="0.25">
      <c r="A62" s="248"/>
      <c r="L62" s="248"/>
    </row>
    <row r="63" spans="1:12" ht="14.4" x14ac:dyDescent="0.25">
      <c r="A63" s="248"/>
      <c r="L63" s="248"/>
    </row>
    <row r="64" spans="1:12" ht="14.4" x14ac:dyDescent="0.25">
      <c r="A64" s="248"/>
      <c r="L64" s="248"/>
    </row>
    <row r="65" spans="1:12" ht="14.4" x14ac:dyDescent="0.25">
      <c r="A65" s="248"/>
      <c r="L65" s="248"/>
    </row>
    <row r="66" spans="1:12" ht="14.4" x14ac:dyDescent="0.25">
      <c r="A66" s="248"/>
      <c r="L66" s="248"/>
    </row>
    <row r="67" spans="1:12" ht="14.4" x14ac:dyDescent="0.25">
      <c r="A67" s="248"/>
      <c r="L67" s="248"/>
    </row>
    <row r="68" spans="1:12" ht="14.4" x14ac:dyDescent="0.25">
      <c r="A68" s="248"/>
      <c r="L68" s="248"/>
    </row>
    <row r="69" spans="1:12" ht="14.4" x14ac:dyDescent="0.25">
      <c r="A69" s="248"/>
      <c r="L69" s="248"/>
    </row>
    <row r="70" spans="1:12" ht="14.4" x14ac:dyDescent="0.25">
      <c r="A70" s="248"/>
      <c r="L70" s="248"/>
    </row>
    <row r="71" spans="1:12" ht="14.4" x14ac:dyDescent="0.25">
      <c r="A71" s="248"/>
      <c r="L71" s="248"/>
    </row>
    <row r="72" spans="1:12" ht="14.4" x14ac:dyDescent="0.25">
      <c r="A72" s="248"/>
      <c r="L72" s="248"/>
    </row>
    <row r="73" spans="1:12" ht="14.4" x14ac:dyDescent="0.25">
      <c r="A73" s="248"/>
      <c r="L73" s="248"/>
    </row>
    <row r="74" spans="1:12" ht="14.4" x14ac:dyDescent="0.25">
      <c r="A74" s="248"/>
      <c r="L74" s="248"/>
    </row>
    <row r="75" spans="1:12" ht="14.4" x14ac:dyDescent="0.25">
      <c r="A75" s="248"/>
      <c r="L75" s="248"/>
    </row>
    <row r="76" spans="1:12" ht="14.4" x14ac:dyDescent="0.25">
      <c r="A76" s="248"/>
      <c r="L76" s="248"/>
    </row>
    <row r="77" spans="1:12" ht="14.4" x14ac:dyDescent="0.25">
      <c r="A77" s="248"/>
      <c r="L77" s="248"/>
    </row>
    <row r="78" spans="1:12" ht="14.4" x14ac:dyDescent="0.25">
      <c r="A78" s="248"/>
      <c r="L78" s="248"/>
    </row>
    <row r="79" spans="1:12" ht="14.4" x14ac:dyDescent="0.25">
      <c r="A79" s="248"/>
      <c r="L79" s="248"/>
    </row>
    <row r="80" spans="1:12" ht="14.4" x14ac:dyDescent="0.25">
      <c r="A80" s="248"/>
      <c r="L80" s="248"/>
    </row>
    <row r="81" spans="1:12" ht="14.4" x14ac:dyDescent="0.25">
      <c r="A81" s="248"/>
      <c r="L81" s="248"/>
    </row>
    <row r="82" spans="1:12" ht="14.4" x14ac:dyDescent="0.25">
      <c r="A82" s="248"/>
      <c r="L82" s="248"/>
    </row>
    <row r="83" spans="1:12" ht="14.4" x14ac:dyDescent="0.25">
      <c r="A83" s="248"/>
      <c r="L83" s="248"/>
    </row>
    <row r="84" spans="1:12" ht="14.4" x14ac:dyDescent="0.25">
      <c r="A84" s="248"/>
      <c r="L84" s="248"/>
    </row>
    <row r="85" spans="1:12" ht="14.4" x14ac:dyDescent="0.25">
      <c r="A85" s="248"/>
      <c r="L85" s="248"/>
    </row>
    <row r="86" spans="1:12" ht="14.4" x14ac:dyDescent="0.25">
      <c r="A86" s="248"/>
      <c r="L86" s="248"/>
    </row>
    <row r="87" spans="1:12" ht="14.4" x14ac:dyDescent="0.25">
      <c r="A87" s="248"/>
      <c r="L87" s="248"/>
    </row>
    <row r="88" spans="1:12" ht="14.4" x14ac:dyDescent="0.25">
      <c r="A88" s="248"/>
      <c r="L88" s="248"/>
    </row>
    <row r="89" spans="1:12" ht="14.4" x14ac:dyDescent="0.25">
      <c r="A89" s="248"/>
      <c r="L89" s="248"/>
    </row>
    <row r="90" spans="1:12" ht="14.4" x14ac:dyDescent="0.25">
      <c r="A90" s="248"/>
      <c r="L90" s="248"/>
    </row>
    <row r="91" spans="1:12" ht="14.4" x14ac:dyDescent="0.25">
      <c r="A91" s="248"/>
      <c r="L91" s="248"/>
    </row>
    <row r="92" spans="1:12" ht="14.4" x14ac:dyDescent="0.25">
      <c r="A92" s="248"/>
      <c r="L92" s="248"/>
    </row>
    <row r="93" spans="1:12" ht="14.4" x14ac:dyDescent="0.25">
      <c r="A93" s="248"/>
      <c r="L93" s="248"/>
    </row>
    <row r="94" spans="1:12" ht="14.4" x14ac:dyDescent="0.25">
      <c r="A94" s="248"/>
      <c r="L94" s="248"/>
    </row>
    <row r="95" spans="1:12" ht="14.4" x14ac:dyDescent="0.25">
      <c r="A95" s="248"/>
      <c r="L95" s="248"/>
    </row>
    <row r="96" spans="1:12" ht="14.4" x14ac:dyDescent="0.25">
      <c r="A96" s="248"/>
      <c r="L96" s="248"/>
    </row>
    <row r="97" spans="1:12" ht="14.4" x14ac:dyDescent="0.25">
      <c r="A97" s="248"/>
      <c r="L97" s="248"/>
    </row>
    <row r="98" spans="1:12" ht="14.4" x14ac:dyDescent="0.25">
      <c r="A98" s="248"/>
      <c r="L98" s="248"/>
    </row>
    <row r="99" spans="1:12" ht="14.4" x14ac:dyDescent="0.25">
      <c r="A99" s="248"/>
      <c r="L99" s="248"/>
    </row>
    <row r="100" spans="1:12" ht="14.4" x14ac:dyDescent="0.25">
      <c r="A100" s="248"/>
      <c r="L100" s="248"/>
    </row>
    <row r="101" spans="1:12" ht="14.4" x14ac:dyDescent="0.25">
      <c r="A101" s="248"/>
      <c r="L101" s="248"/>
    </row>
    <row r="102" spans="1:12" ht="14.4" x14ac:dyDescent="0.25">
      <c r="A102" s="248"/>
      <c r="L102" s="248"/>
    </row>
    <row r="103" spans="1:12" ht="14.4" x14ac:dyDescent="0.25">
      <c r="A103" s="248"/>
      <c r="L103" s="248"/>
    </row>
    <row r="104" spans="1:12" ht="14.4" x14ac:dyDescent="0.25">
      <c r="A104" s="248"/>
      <c r="L104" s="248"/>
    </row>
    <row r="105" spans="1:12" ht="14.4" x14ac:dyDescent="0.25">
      <c r="A105" s="248"/>
      <c r="L105" s="248"/>
    </row>
  </sheetData>
  <mergeCells count="10">
    <mergeCell ref="C26:C30"/>
    <mergeCell ref="D23:H23"/>
    <mergeCell ref="C31:C33"/>
    <mergeCell ref="C34:C36"/>
    <mergeCell ref="C37:C39"/>
    <mergeCell ref="D2:H2"/>
    <mergeCell ref="C5:C9"/>
    <mergeCell ref="C10:C12"/>
    <mergeCell ref="C13:C15"/>
    <mergeCell ref="C16:C20"/>
  </mergeCells>
  <conditionalFormatting sqref="E13:G13 E16:G16 E26:G26 E34:G34">
    <cfRule type="containsBlanks" dxfId="0" priority="1">
      <formula>LEN(TRIM(E13))=0</formula>
    </cfRule>
  </conditionalFormatting>
  <pageMargins left="0.7" right="0.7" top="0.75" bottom="0.75" header="0.3" footer="0.3"/>
  <pageSetup paperSize="9" orientation="portrait" horizontalDpi="0" verticalDpi="0" r:id="rId1"/>
  <ignoredErrors>
    <ignoredError sqref="J30 J36 J9 J15 H9 H12 H15 H30 H33 H36" formula="1"/>
    <ignoredError sqref="J33 J12" formula="1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7" r:id="rId4" name="Button 17">
              <controlPr defaultSize="0" print="0" autoFill="0" autoPict="0" macro="[0]!SelectAndSave_costiACBD">
                <anchor moveWithCells="1" sizeWithCells="1">
                  <from>
                    <xdr:col>14</xdr:col>
                    <xdr:colOff>30480</xdr:colOff>
                    <xdr:row>6</xdr:row>
                    <xdr:rowOff>152400</xdr:rowOff>
                  </from>
                  <to>
                    <xdr:col>17</xdr:col>
                    <xdr:colOff>327660</xdr:colOff>
                    <xdr:row>8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4"/>
  <dimension ref="A1:AK107"/>
  <sheetViews>
    <sheetView workbookViewId="0">
      <selection activeCell="M20" sqref="M20"/>
    </sheetView>
  </sheetViews>
  <sheetFormatPr defaultRowHeight="13.2" x14ac:dyDescent="0.25"/>
  <cols>
    <col min="1" max="1" width="1.77734375" style="247" customWidth="1"/>
    <col min="2" max="2" width="4.109375" customWidth="1"/>
    <col min="3" max="3" width="48.21875" customWidth="1"/>
    <col min="4" max="4" width="12.77734375" style="56" bestFit="1" customWidth="1"/>
    <col min="5" max="5" width="4.33203125" customWidth="1"/>
    <col min="6" max="6" width="1.77734375" style="247" customWidth="1"/>
  </cols>
  <sheetData>
    <row r="1" spans="1:37" s="247" customFormat="1" ht="9" customHeight="1" x14ac:dyDescent="0.25">
      <c r="A1" s="245"/>
      <c r="B1" s="259"/>
      <c r="C1" s="245"/>
      <c r="D1" s="314"/>
      <c r="E1" s="314"/>
      <c r="F1" s="245"/>
      <c r="G1" s="1"/>
      <c r="H1" s="1"/>
      <c r="I1" s="1"/>
      <c r="J1" s="1"/>
      <c r="K1" s="1"/>
      <c r="L1" s="1"/>
      <c r="M1" s="1"/>
      <c r="N1" s="249"/>
      <c r="O1" s="249"/>
      <c r="P1" s="249"/>
      <c r="Q1" s="249"/>
      <c r="R1" s="249"/>
      <c r="S1" s="249"/>
      <c r="T1" s="249"/>
      <c r="U1" s="249"/>
      <c r="V1" s="249"/>
      <c r="W1" s="249"/>
      <c r="X1" s="249"/>
      <c r="Y1" s="249"/>
      <c r="Z1" s="249"/>
      <c r="AA1" s="249"/>
      <c r="AC1" s="249"/>
      <c r="AD1" s="249"/>
      <c r="AE1" s="249"/>
      <c r="AF1" s="249"/>
      <c r="AG1" s="249"/>
      <c r="AH1" s="249"/>
      <c r="AI1" s="249"/>
      <c r="AJ1" s="249"/>
      <c r="AK1" s="249"/>
    </row>
    <row r="2" spans="1:37" ht="15.6" x14ac:dyDescent="0.3">
      <c r="A2" s="245"/>
      <c r="B2" s="318" t="s">
        <v>211</v>
      </c>
      <c r="C2" s="75" t="s">
        <v>160</v>
      </c>
      <c r="E2" s="81"/>
      <c r="F2" s="245"/>
      <c r="G2" s="1"/>
      <c r="H2" s="1"/>
      <c r="I2" s="1"/>
      <c r="J2" s="1"/>
      <c r="K2" s="1"/>
      <c r="L2" s="1"/>
      <c r="M2" s="1"/>
    </row>
    <row r="3" spans="1:37" ht="15" x14ac:dyDescent="0.25">
      <c r="A3" s="245"/>
      <c r="B3" s="81"/>
      <c r="C3" s="282" t="s">
        <v>161</v>
      </c>
      <c r="D3" s="283"/>
      <c r="E3" s="81"/>
      <c r="F3" s="245"/>
      <c r="G3" s="1"/>
      <c r="H3" s="1"/>
      <c r="I3" s="1"/>
      <c r="J3" s="1"/>
      <c r="K3" s="1"/>
      <c r="L3" s="1"/>
      <c r="M3" s="1"/>
    </row>
    <row r="4" spans="1:37" ht="15" x14ac:dyDescent="0.25">
      <c r="A4" s="245"/>
      <c r="B4" s="81"/>
      <c r="C4" s="76" t="s">
        <v>162</v>
      </c>
      <c r="D4" s="242">
        <v>30000</v>
      </c>
      <c r="E4" s="81"/>
      <c r="F4" s="245"/>
      <c r="G4" s="1"/>
      <c r="H4" s="1"/>
      <c r="I4" s="1"/>
      <c r="J4" s="1"/>
      <c r="K4" s="1"/>
      <c r="L4" s="1"/>
      <c r="M4" s="1"/>
    </row>
    <row r="5" spans="1:37" ht="15" x14ac:dyDescent="0.25">
      <c r="A5" s="245"/>
      <c r="B5" s="81"/>
      <c r="C5" s="76" t="s">
        <v>163</v>
      </c>
      <c r="D5" s="237">
        <f>costiACBD!I40</f>
        <v>0</v>
      </c>
      <c r="E5" s="81"/>
      <c r="F5" s="245"/>
      <c r="G5" s="1"/>
      <c r="H5" s="1"/>
      <c r="I5" s="1"/>
      <c r="J5" s="1"/>
      <c r="K5" s="1"/>
      <c r="L5" s="1"/>
      <c r="M5" s="1"/>
    </row>
    <row r="6" spans="1:37" ht="15" x14ac:dyDescent="0.25">
      <c r="A6" s="245"/>
      <c r="B6" s="81"/>
      <c r="C6" s="76" t="s">
        <v>164</v>
      </c>
      <c r="D6" s="237">
        <f>costiACBD!J40</f>
        <v>0</v>
      </c>
      <c r="E6" s="81"/>
      <c r="F6" s="245"/>
      <c r="G6" s="1"/>
      <c r="H6" s="1"/>
      <c r="I6" s="1"/>
      <c r="J6" s="1"/>
      <c r="K6" s="1"/>
      <c r="L6" s="1"/>
      <c r="M6" s="1"/>
    </row>
    <row r="7" spans="1:37" ht="15.6" customHeight="1" x14ac:dyDescent="0.25">
      <c r="A7" s="245"/>
      <c r="B7" s="81"/>
      <c r="C7" s="76" t="s">
        <v>165</v>
      </c>
      <c r="D7" s="237">
        <f>costiACBD!J30+costiACBD!J36</f>
        <v>0</v>
      </c>
      <c r="E7" s="81"/>
      <c r="F7" s="245"/>
      <c r="G7" s="1"/>
      <c r="H7" s="1"/>
      <c r="I7" s="1"/>
      <c r="J7" s="1"/>
      <c r="K7" s="1"/>
      <c r="L7" s="1"/>
      <c r="M7" s="1"/>
    </row>
    <row r="8" spans="1:37" ht="15" x14ac:dyDescent="0.25">
      <c r="A8" s="245"/>
      <c r="B8" s="81"/>
      <c r="C8" s="76" t="s">
        <v>207</v>
      </c>
      <c r="D8" s="237">
        <f>costiACBD!J33+costiACBD!J39</f>
        <v>0</v>
      </c>
      <c r="E8" s="81"/>
      <c r="F8" s="245"/>
      <c r="G8" s="1"/>
      <c r="H8" s="1"/>
      <c r="I8" s="1"/>
      <c r="J8" s="1"/>
      <c r="K8" s="1"/>
      <c r="L8" s="1"/>
      <c r="M8" s="1"/>
    </row>
    <row r="9" spans="1:37" ht="15" x14ac:dyDescent="0.25">
      <c r="A9" s="245"/>
      <c r="B9" s="81"/>
      <c r="C9" s="76" t="s">
        <v>166</v>
      </c>
      <c r="D9" s="242">
        <v>5000</v>
      </c>
      <c r="E9" s="81"/>
      <c r="F9" s="245"/>
      <c r="G9" s="1"/>
      <c r="H9" s="1"/>
      <c r="I9" s="1"/>
      <c r="J9" s="1"/>
      <c r="K9" s="1"/>
      <c r="L9" s="1"/>
      <c r="M9" s="1"/>
    </row>
    <row r="10" spans="1:37" ht="15" x14ac:dyDescent="0.25">
      <c r="A10" s="245"/>
      <c r="B10" s="81"/>
      <c r="C10" s="77" t="s">
        <v>209</v>
      </c>
      <c r="D10" s="168">
        <f>D7/2+D8/4+D9</f>
        <v>5000</v>
      </c>
      <c r="E10" s="81"/>
      <c r="F10" s="245"/>
      <c r="G10" s="1"/>
      <c r="H10" s="1"/>
      <c r="I10" s="1"/>
      <c r="J10" s="1"/>
      <c r="K10" s="1"/>
      <c r="L10" s="1"/>
      <c r="M10" s="1"/>
    </row>
    <row r="11" spans="1:37" ht="15" x14ac:dyDescent="0.25">
      <c r="A11" s="245"/>
      <c r="B11" s="81"/>
      <c r="C11" s="82"/>
      <c r="D11" s="128"/>
      <c r="E11" s="332" t="s">
        <v>211</v>
      </c>
      <c r="F11" s="245"/>
      <c r="G11" s="1"/>
      <c r="H11" s="1"/>
      <c r="I11" s="1"/>
      <c r="J11" s="1"/>
      <c r="K11" s="1"/>
      <c r="L11" s="1"/>
      <c r="M11" s="1"/>
    </row>
    <row r="12" spans="1:37" s="247" customFormat="1" ht="9" customHeight="1" x14ac:dyDescent="0.25">
      <c r="A12" s="245"/>
      <c r="B12" s="259"/>
      <c r="C12" s="245"/>
      <c r="D12" s="314"/>
      <c r="E12" s="314"/>
      <c r="F12" s="245"/>
      <c r="G12" s="1"/>
      <c r="H12" s="1"/>
      <c r="I12" s="1"/>
      <c r="J12" s="1"/>
      <c r="K12" s="1"/>
      <c r="L12" s="1"/>
      <c r="M12" s="1"/>
      <c r="N12" s="249"/>
      <c r="O12" s="249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C12" s="249"/>
      <c r="AD12" s="249"/>
      <c r="AE12" s="249"/>
      <c r="AF12" s="249"/>
      <c r="AG12" s="249"/>
      <c r="AH12" s="249"/>
      <c r="AI12" s="249"/>
      <c r="AJ12" s="249"/>
      <c r="AK12" s="249"/>
    </row>
    <row r="13" spans="1:37" ht="15" x14ac:dyDescent="0.25">
      <c r="A13" s="245"/>
      <c r="B13" s="81"/>
      <c r="C13" s="82" t="s">
        <v>167</v>
      </c>
      <c r="D13" s="169">
        <f>dipendenti!T20</f>
        <v>0</v>
      </c>
      <c r="E13" s="81"/>
      <c r="F13" s="245"/>
      <c r="G13" s="1"/>
      <c r="H13" s="1"/>
      <c r="I13" s="1"/>
      <c r="J13" s="1"/>
      <c r="K13" s="1"/>
      <c r="L13" s="1"/>
      <c r="M13" s="1"/>
    </row>
    <row r="14" spans="1:37" ht="15" x14ac:dyDescent="0.25">
      <c r="A14" s="245"/>
      <c r="B14" s="81"/>
      <c r="C14" s="82" t="s">
        <v>168</v>
      </c>
      <c r="D14" s="169">
        <f>extramuros!I9</f>
        <v>0</v>
      </c>
      <c r="E14" s="81"/>
      <c r="F14" s="245"/>
      <c r="G14" s="1"/>
      <c r="H14" s="1"/>
      <c r="I14" s="1"/>
      <c r="J14" s="1"/>
      <c r="K14" s="1"/>
      <c r="L14" s="1"/>
      <c r="M14" s="1"/>
    </row>
    <row r="15" spans="1:37" ht="15" x14ac:dyDescent="0.25">
      <c r="A15" s="245"/>
      <c r="B15" s="81"/>
      <c r="D15" s="331">
        <f>D13+D14</f>
        <v>0</v>
      </c>
      <c r="F15" s="245"/>
      <c r="G15" s="1"/>
      <c r="H15" s="1"/>
      <c r="I15" s="1"/>
      <c r="J15" s="1"/>
      <c r="K15" s="1"/>
      <c r="L15" s="1"/>
      <c r="M15" s="1"/>
    </row>
    <row r="16" spans="1:37" s="247" customFormat="1" ht="9" customHeight="1" x14ac:dyDescent="0.25">
      <c r="A16" s="245"/>
      <c r="B16" s="259"/>
      <c r="C16" s="245"/>
      <c r="D16" s="314"/>
      <c r="E16" s="314"/>
      <c r="F16" s="245"/>
      <c r="G16" s="1"/>
      <c r="H16" s="1"/>
      <c r="I16" s="1"/>
      <c r="J16" s="1"/>
      <c r="K16" s="1"/>
      <c r="L16" s="1"/>
      <c r="M16" s="1"/>
      <c r="N16" s="249"/>
      <c r="O16" s="249"/>
      <c r="P16" s="249"/>
      <c r="Q16" s="249"/>
      <c r="R16" s="249"/>
      <c r="S16" s="249"/>
      <c r="T16" s="249"/>
      <c r="U16" s="249"/>
      <c r="V16" s="249"/>
      <c r="W16" s="249"/>
      <c r="X16" s="249"/>
      <c r="Y16" s="249"/>
      <c r="Z16" s="249"/>
      <c r="AA16" s="249"/>
      <c r="AC16" s="249"/>
      <c r="AD16" s="249"/>
      <c r="AE16" s="249"/>
      <c r="AF16" s="249"/>
      <c r="AG16" s="249"/>
      <c r="AH16" s="249"/>
      <c r="AI16" s="249"/>
      <c r="AJ16" s="249"/>
      <c r="AK16" s="249"/>
    </row>
    <row r="17" spans="1:37" ht="15.6" x14ac:dyDescent="0.3">
      <c r="A17" s="245"/>
      <c r="B17" s="318" t="s">
        <v>211</v>
      </c>
      <c r="C17" s="75" t="s">
        <v>160</v>
      </c>
      <c r="E17" s="81"/>
      <c r="F17" s="245"/>
    </row>
    <row r="18" spans="1:37" ht="15" x14ac:dyDescent="0.25">
      <c r="A18" s="245"/>
      <c r="B18" s="81"/>
      <c r="C18" s="282" t="s">
        <v>161</v>
      </c>
      <c r="D18" s="283"/>
      <c r="E18" s="81"/>
      <c r="F18" s="245"/>
    </row>
    <row r="19" spans="1:37" ht="15" x14ac:dyDescent="0.25">
      <c r="A19" s="245"/>
      <c r="B19" s="81"/>
      <c r="C19" s="76" t="s">
        <v>162</v>
      </c>
      <c r="D19" s="242">
        <v>30000</v>
      </c>
      <c r="E19" s="81"/>
      <c r="F19" s="245"/>
    </row>
    <row r="20" spans="1:37" ht="15" x14ac:dyDescent="0.25">
      <c r="A20" s="245"/>
      <c r="B20" s="81"/>
      <c r="C20" s="76" t="s">
        <v>163</v>
      </c>
      <c r="D20" s="237">
        <f>costiACBD!I55</f>
        <v>0</v>
      </c>
      <c r="E20" s="81"/>
      <c r="F20" s="245"/>
    </row>
    <row r="21" spans="1:37" ht="15" x14ac:dyDescent="0.25">
      <c r="A21" s="245"/>
      <c r="B21" s="81"/>
      <c r="C21" s="76" t="s">
        <v>164</v>
      </c>
      <c r="D21" s="237">
        <f>costiACBD!J55</f>
        <v>0</v>
      </c>
      <c r="E21" s="81"/>
      <c r="F21" s="245"/>
    </row>
    <row r="22" spans="1:37" ht="15" x14ac:dyDescent="0.25">
      <c r="A22" s="245"/>
      <c r="B22" s="81"/>
      <c r="C22" s="76" t="s">
        <v>165</v>
      </c>
      <c r="D22" s="237">
        <f>costiACBD!J45+costiACBD!J51</f>
        <v>0</v>
      </c>
      <c r="E22" s="81"/>
      <c r="F22" s="245"/>
    </row>
    <row r="23" spans="1:37" ht="15" x14ac:dyDescent="0.25">
      <c r="A23" s="245"/>
      <c r="B23" s="81"/>
      <c r="C23" s="76" t="s">
        <v>239</v>
      </c>
      <c r="D23" s="237">
        <f>costiACBD!J48+costiACBD!J54</f>
        <v>0</v>
      </c>
      <c r="E23" s="81"/>
      <c r="F23" s="245"/>
    </row>
    <row r="24" spans="1:37" ht="15" x14ac:dyDescent="0.25">
      <c r="A24" s="245"/>
      <c r="B24" s="81"/>
      <c r="C24" s="76" t="s">
        <v>166</v>
      </c>
      <c r="D24" s="242">
        <v>5000</v>
      </c>
      <c r="E24" s="81"/>
      <c r="F24" s="245"/>
    </row>
    <row r="25" spans="1:37" ht="15" x14ac:dyDescent="0.25">
      <c r="A25" s="245"/>
      <c r="B25" s="81"/>
      <c r="C25" s="77" t="s">
        <v>209</v>
      </c>
      <c r="D25" s="168">
        <f>D22/2+D23/2+D24</f>
        <v>5000</v>
      </c>
      <c r="E25" s="81"/>
      <c r="F25" s="245"/>
    </row>
    <row r="26" spans="1:37" ht="15" x14ac:dyDescent="0.25">
      <c r="A26" s="245"/>
      <c r="B26" s="81"/>
      <c r="C26" s="82"/>
      <c r="D26" s="128"/>
      <c r="E26" s="332" t="s">
        <v>211</v>
      </c>
      <c r="F26" s="245"/>
    </row>
    <row r="27" spans="1:37" s="247" customFormat="1" ht="9" customHeight="1" x14ac:dyDescent="0.25">
      <c r="A27" s="245"/>
      <c r="B27" s="259"/>
      <c r="C27" s="245"/>
      <c r="D27" s="314"/>
      <c r="E27" s="314"/>
      <c r="F27" s="245"/>
      <c r="G27" s="1"/>
      <c r="H27" s="1"/>
      <c r="I27" s="1"/>
      <c r="J27" s="1"/>
      <c r="K27" s="1"/>
      <c r="L27" s="1"/>
      <c r="M27" s="1"/>
      <c r="N27" s="249"/>
      <c r="O27" s="249"/>
      <c r="P27" s="249"/>
      <c r="Q27" s="249"/>
      <c r="R27" s="249"/>
      <c r="S27" s="249"/>
      <c r="T27" s="249"/>
      <c r="U27" s="249"/>
      <c r="V27" s="249"/>
      <c r="W27" s="249"/>
      <c r="X27" s="249"/>
      <c r="Y27" s="249"/>
      <c r="Z27" s="249"/>
      <c r="AA27" s="249"/>
      <c r="AC27" s="249"/>
      <c r="AD27" s="249"/>
      <c r="AE27" s="249"/>
      <c r="AF27" s="249"/>
      <c r="AG27" s="249"/>
      <c r="AH27" s="249"/>
      <c r="AI27" s="249"/>
      <c r="AJ27" s="249"/>
      <c r="AK27" s="249"/>
    </row>
    <row r="28" spans="1:37" ht="15" x14ac:dyDescent="0.25">
      <c r="A28" s="245"/>
      <c r="B28" s="81"/>
      <c r="C28" s="82" t="s">
        <v>167</v>
      </c>
      <c r="D28" s="169">
        <f>dipendenti!T35</f>
        <v>0</v>
      </c>
      <c r="E28" s="81"/>
      <c r="F28" s="245"/>
    </row>
    <row r="29" spans="1:37" ht="15" x14ac:dyDescent="0.25">
      <c r="A29" s="245"/>
      <c r="B29" s="81"/>
      <c r="C29" s="82" t="s">
        <v>168</v>
      </c>
      <c r="D29" s="169">
        <f>extramuros!I24</f>
        <v>0</v>
      </c>
      <c r="E29" s="81"/>
      <c r="F29" s="245"/>
    </row>
    <row r="30" spans="1:37" ht="15" x14ac:dyDescent="0.25">
      <c r="A30" s="245"/>
      <c r="B30" s="81"/>
      <c r="C30" s="1"/>
      <c r="D30" s="331">
        <f>D28+D29</f>
        <v>0</v>
      </c>
      <c r="E30" s="1"/>
      <c r="F30" s="245"/>
    </row>
    <row r="31" spans="1:37" s="247" customFormat="1" ht="9" customHeight="1" x14ac:dyDescent="0.25">
      <c r="A31" s="245"/>
      <c r="B31" s="259"/>
      <c r="C31" s="245"/>
      <c r="D31" s="314"/>
      <c r="E31" s="314"/>
      <c r="F31" s="245"/>
      <c r="G31" s="1"/>
      <c r="H31" s="1"/>
      <c r="I31" s="1"/>
      <c r="J31" s="1"/>
      <c r="K31" s="1"/>
      <c r="L31" s="1"/>
      <c r="M31" s="1"/>
      <c r="N31" s="249"/>
      <c r="O31" s="249"/>
      <c r="P31" s="249"/>
      <c r="Q31" s="249"/>
      <c r="R31" s="249"/>
      <c r="S31" s="249"/>
      <c r="T31" s="249"/>
      <c r="U31" s="249"/>
      <c r="V31" s="249"/>
      <c r="W31" s="249"/>
      <c r="X31" s="249"/>
      <c r="Y31" s="249"/>
      <c r="Z31" s="249"/>
      <c r="AA31" s="249"/>
      <c r="AC31" s="249"/>
      <c r="AD31" s="249"/>
      <c r="AE31" s="249"/>
      <c r="AF31" s="249"/>
      <c r="AG31" s="249"/>
      <c r="AH31" s="249"/>
      <c r="AI31" s="249"/>
      <c r="AJ31" s="249"/>
      <c r="AK31" s="249"/>
    </row>
    <row r="32" spans="1:37" x14ac:dyDescent="0.25">
      <c r="A32" s="81"/>
      <c r="B32" s="1"/>
      <c r="F32" s="81"/>
    </row>
    <row r="33" spans="1:6" x14ac:dyDescent="0.25">
      <c r="A33" s="81"/>
      <c r="B33" s="1"/>
      <c r="F33" s="81"/>
    </row>
    <row r="34" spans="1:6" x14ac:dyDescent="0.25">
      <c r="A34" s="81"/>
      <c r="B34" s="1"/>
      <c r="F34" s="81"/>
    </row>
    <row r="35" spans="1:6" x14ac:dyDescent="0.25">
      <c r="A35" s="81"/>
      <c r="B35" s="1"/>
      <c r="F35" s="81"/>
    </row>
    <row r="36" spans="1:6" x14ac:dyDescent="0.25">
      <c r="A36" s="81"/>
      <c r="B36" s="1"/>
      <c r="F36" s="81"/>
    </row>
    <row r="37" spans="1:6" x14ac:dyDescent="0.25">
      <c r="A37" s="81"/>
      <c r="B37" s="1"/>
      <c r="F37" s="81"/>
    </row>
    <row r="38" spans="1:6" x14ac:dyDescent="0.25">
      <c r="A38" s="81"/>
      <c r="B38" s="1"/>
      <c r="F38" s="81"/>
    </row>
    <row r="39" spans="1:6" x14ac:dyDescent="0.25">
      <c r="A39" s="81"/>
      <c r="B39" s="1"/>
      <c r="F39" s="81"/>
    </row>
    <row r="40" spans="1:6" x14ac:dyDescent="0.25">
      <c r="A40" s="81"/>
      <c r="B40" s="1"/>
      <c r="F40" s="81"/>
    </row>
    <row r="41" spans="1:6" x14ac:dyDescent="0.25">
      <c r="A41" s="81"/>
      <c r="B41" s="1"/>
      <c r="F41" s="81"/>
    </row>
    <row r="42" spans="1:6" x14ac:dyDescent="0.25">
      <c r="A42" s="81"/>
      <c r="B42" s="1"/>
      <c r="F42" s="81"/>
    </row>
    <row r="43" spans="1:6" x14ac:dyDescent="0.25">
      <c r="A43" s="81"/>
      <c r="F43" s="81"/>
    </row>
    <row r="44" spans="1:6" x14ac:dyDescent="0.25">
      <c r="A44" s="81"/>
      <c r="F44" s="81"/>
    </row>
    <row r="45" spans="1:6" ht="14.4" x14ac:dyDescent="0.25">
      <c r="A45" s="248"/>
      <c r="F45" s="248"/>
    </row>
    <row r="46" spans="1:6" ht="14.4" x14ac:dyDescent="0.25">
      <c r="A46" s="248"/>
      <c r="F46" s="248"/>
    </row>
    <row r="47" spans="1:6" ht="14.4" x14ac:dyDescent="0.25">
      <c r="A47" s="248"/>
      <c r="F47" s="248"/>
    </row>
    <row r="48" spans="1:6" ht="14.4" x14ac:dyDescent="0.25">
      <c r="A48" s="248"/>
      <c r="F48" s="248"/>
    </row>
    <row r="49" spans="1:6" ht="14.4" x14ac:dyDescent="0.25">
      <c r="A49" s="248"/>
      <c r="F49" s="248"/>
    </row>
    <row r="50" spans="1:6" ht="14.4" x14ac:dyDescent="0.25">
      <c r="A50" s="248"/>
      <c r="F50" s="248"/>
    </row>
    <row r="51" spans="1:6" ht="14.4" x14ac:dyDescent="0.25">
      <c r="A51" s="248"/>
      <c r="F51" s="248"/>
    </row>
    <row r="52" spans="1:6" ht="14.4" x14ac:dyDescent="0.25">
      <c r="A52" s="248"/>
      <c r="F52" s="248"/>
    </row>
    <row r="53" spans="1:6" ht="14.4" x14ac:dyDescent="0.25">
      <c r="A53" s="248"/>
      <c r="F53" s="248"/>
    </row>
    <row r="54" spans="1:6" ht="14.4" x14ac:dyDescent="0.25">
      <c r="A54" s="248"/>
      <c r="F54" s="248"/>
    </row>
    <row r="55" spans="1:6" ht="14.4" x14ac:dyDescent="0.25">
      <c r="A55" s="248"/>
      <c r="F55" s="248"/>
    </row>
    <row r="56" spans="1:6" ht="14.4" x14ac:dyDescent="0.25">
      <c r="A56" s="248"/>
      <c r="F56" s="248"/>
    </row>
    <row r="57" spans="1:6" ht="14.4" x14ac:dyDescent="0.25">
      <c r="A57" s="248"/>
      <c r="F57" s="248"/>
    </row>
    <row r="58" spans="1:6" ht="14.4" x14ac:dyDescent="0.25">
      <c r="A58" s="248"/>
      <c r="F58" s="248"/>
    </row>
    <row r="59" spans="1:6" ht="14.4" x14ac:dyDescent="0.25">
      <c r="A59" s="248"/>
      <c r="F59" s="248"/>
    </row>
    <row r="60" spans="1:6" ht="14.4" x14ac:dyDescent="0.25">
      <c r="A60" s="248"/>
      <c r="F60" s="248"/>
    </row>
    <row r="61" spans="1:6" ht="14.4" x14ac:dyDescent="0.25">
      <c r="A61" s="248"/>
      <c r="F61" s="248"/>
    </row>
    <row r="62" spans="1:6" ht="14.4" x14ac:dyDescent="0.25">
      <c r="A62" s="248"/>
      <c r="F62" s="248"/>
    </row>
    <row r="63" spans="1:6" ht="14.4" x14ac:dyDescent="0.25">
      <c r="A63" s="248"/>
      <c r="F63" s="248"/>
    </row>
    <row r="64" spans="1:6" ht="14.4" x14ac:dyDescent="0.25">
      <c r="A64" s="248"/>
      <c r="F64" s="248"/>
    </row>
    <row r="65" spans="1:6" ht="14.4" x14ac:dyDescent="0.25">
      <c r="A65" s="248"/>
      <c r="F65" s="248"/>
    </row>
    <row r="66" spans="1:6" ht="14.4" x14ac:dyDescent="0.25">
      <c r="A66" s="248"/>
      <c r="F66" s="248"/>
    </row>
    <row r="67" spans="1:6" ht="14.4" x14ac:dyDescent="0.25">
      <c r="A67" s="248"/>
      <c r="F67" s="248"/>
    </row>
    <row r="68" spans="1:6" ht="14.4" x14ac:dyDescent="0.25">
      <c r="A68" s="248"/>
      <c r="F68" s="248"/>
    </row>
    <row r="69" spans="1:6" ht="14.4" x14ac:dyDescent="0.25">
      <c r="A69" s="248"/>
      <c r="F69" s="248"/>
    </row>
    <row r="70" spans="1:6" ht="14.4" x14ac:dyDescent="0.25">
      <c r="A70" s="248"/>
      <c r="F70" s="248"/>
    </row>
    <row r="71" spans="1:6" ht="14.4" x14ac:dyDescent="0.25">
      <c r="A71" s="248"/>
      <c r="F71" s="248"/>
    </row>
    <row r="72" spans="1:6" ht="14.4" x14ac:dyDescent="0.25">
      <c r="A72" s="248"/>
      <c r="F72" s="248"/>
    </row>
    <row r="73" spans="1:6" ht="14.4" x14ac:dyDescent="0.25">
      <c r="A73" s="248"/>
      <c r="F73" s="248"/>
    </row>
    <row r="74" spans="1:6" ht="14.4" x14ac:dyDescent="0.25">
      <c r="A74" s="248"/>
      <c r="F74" s="248"/>
    </row>
    <row r="75" spans="1:6" ht="14.4" x14ac:dyDescent="0.25">
      <c r="A75" s="248"/>
      <c r="F75" s="248"/>
    </row>
    <row r="76" spans="1:6" ht="14.4" x14ac:dyDescent="0.25">
      <c r="A76" s="248"/>
      <c r="F76" s="248"/>
    </row>
    <row r="77" spans="1:6" ht="14.4" x14ac:dyDescent="0.25">
      <c r="A77" s="248"/>
      <c r="F77" s="248"/>
    </row>
    <row r="78" spans="1:6" ht="14.4" x14ac:dyDescent="0.25">
      <c r="A78" s="248"/>
      <c r="F78" s="248"/>
    </row>
    <row r="79" spans="1:6" ht="14.4" x14ac:dyDescent="0.25">
      <c r="A79" s="248"/>
      <c r="F79" s="248"/>
    </row>
    <row r="80" spans="1:6" ht="14.4" x14ac:dyDescent="0.25">
      <c r="A80" s="248"/>
      <c r="F80" s="248"/>
    </row>
    <row r="81" spans="1:6" ht="14.4" x14ac:dyDescent="0.25">
      <c r="A81" s="248"/>
      <c r="F81" s="248"/>
    </row>
    <row r="82" spans="1:6" ht="14.4" x14ac:dyDescent="0.25">
      <c r="A82" s="248"/>
      <c r="F82" s="248"/>
    </row>
    <row r="83" spans="1:6" ht="14.4" x14ac:dyDescent="0.25">
      <c r="A83" s="248"/>
      <c r="F83" s="248"/>
    </row>
    <row r="84" spans="1:6" ht="14.4" x14ac:dyDescent="0.25">
      <c r="A84" s="248"/>
      <c r="F84" s="248"/>
    </row>
    <row r="85" spans="1:6" ht="14.4" x14ac:dyDescent="0.25">
      <c r="A85" s="248"/>
      <c r="F85" s="248"/>
    </row>
    <row r="86" spans="1:6" ht="14.4" x14ac:dyDescent="0.25">
      <c r="A86" s="248"/>
      <c r="F86" s="248"/>
    </row>
    <row r="87" spans="1:6" ht="14.4" x14ac:dyDescent="0.25">
      <c r="A87" s="248"/>
      <c r="F87" s="248"/>
    </row>
    <row r="88" spans="1:6" ht="14.4" x14ac:dyDescent="0.25">
      <c r="A88" s="248"/>
      <c r="F88" s="248"/>
    </row>
    <row r="89" spans="1:6" ht="14.4" x14ac:dyDescent="0.25">
      <c r="A89" s="248"/>
      <c r="F89" s="248"/>
    </row>
    <row r="90" spans="1:6" ht="14.4" x14ac:dyDescent="0.25">
      <c r="A90" s="248"/>
      <c r="F90" s="248"/>
    </row>
    <row r="91" spans="1:6" ht="14.4" x14ac:dyDescent="0.25">
      <c r="A91" s="248"/>
      <c r="F91" s="248"/>
    </row>
    <row r="92" spans="1:6" ht="14.4" x14ac:dyDescent="0.25">
      <c r="A92" s="248"/>
      <c r="F92" s="248"/>
    </row>
    <row r="93" spans="1:6" ht="14.4" x14ac:dyDescent="0.25">
      <c r="A93" s="248"/>
      <c r="F93" s="248"/>
    </row>
    <row r="94" spans="1:6" ht="14.4" x14ac:dyDescent="0.25">
      <c r="A94" s="248"/>
      <c r="F94" s="248"/>
    </row>
    <row r="95" spans="1:6" ht="14.4" x14ac:dyDescent="0.25">
      <c r="A95" s="248"/>
      <c r="F95" s="248"/>
    </row>
    <row r="96" spans="1:6" ht="14.4" x14ac:dyDescent="0.25">
      <c r="A96" s="248"/>
      <c r="F96" s="248"/>
    </row>
    <row r="97" spans="1:6" ht="14.4" x14ac:dyDescent="0.25">
      <c r="A97" s="248"/>
      <c r="F97" s="248"/>
    </row>
    <row r="98" spans="1:6" ht="14.4" x14ac:dyDescent="0.25">
      <c r="A98" s="248"/>
      <c r="F98" s="248"/>
    </row>
    <row r="99" spans="1:6" ht="14.4" x14ac:dyDescent="0.25">
      <c r="A99" s="248"/>
      <c r="F99" s="248"/>
    </row>
    <row r="100" spans="1:6" ht="14.4" x14ac:dyDescent="0.25">
      <c r="A100" s="248"/>
      <c r="F100" s="248"/>
    </row>
    <row r="101" spans="1:6" ht="14.4" x14ac:dyDescent="0.25">
      <c r="A101" s="248"/>
      <c r="F101" s="248"/>
    </row>
    <row r="102" spans="1:6" ht="14.4" x14ac:dyDescent="0.25">
      <c r="A102" s="248"/>
      <c r="F102" s="248"/>
    </row>
    <row r="103" spans="1:6" ht="14.4" x14ac:dyDescent="0.25">
      <c r="A103" s="248"/>
      <c r="F103" s="248"/>
    </row>
    <row r="104" spans="1:6" ht="14.4" x14ac:dyDescent="0.25">
      <c r="A104" s="248"/>
      <c r="F104" s="248"/>
    </row>
    <row r="105" spans="1:6" ht="14.4" x14ac:dyDescent="0.25">
      <c r="A105" s="248"/>
      <c r="F105" s="248"/>
    </row>
    <row r="106" spans="1:6" ht="14.4" x14ac:dyDescent="0.25">
      <c r="A106" s="248"/>
      <c r="F106" s="248"/>
    </row>
    <row r="107" spans="1:6" ht="14.4" x14ac:dyDescent="0.25">
      <c r="A107" s="248"/>
      <c r="F107" s="248"/>
    </row>
  </sheetData>
  <mergeCells count="2">
    <mergeCell ref="C3:D3"/>
    <mergeCell ref="C18:D18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electAndSave_creditoSpettante">
                <anchor moveWithCells="1" sizeWithCells="1">
                  <from>
                    <xdr:col>8</xdr:col>
                    <xdr:colOff>106680</xdr:colOff>
                    <xdr:row>6</xdr:row>
                    <xdr:rowOff>15240</xdr:rowOff>
                  </from>
                  <to>
                    <xdr:col>10</xdr:col>
                    <xdr:colOff>304800</xdr:colOff>
                    <xdr:row>8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BS109"/>
  <sheetViews>
    <sheetView showGridLines="0" tabSelected="1" topLeftCell="A7" zoomScale="125" zoomScaleNormal="125" zoomScalePageLayoutView="125" workbookViewId="0">
      <selection activeCell="AG22" sqref="AG22"/>
    </sheetView>
  </sheetViews>
  <sheetFormatPr defaultColWidth="8.77734375" defaultRowHeight="27" customHeight="1" x14ac:dyDescent="0.3"/>
  <cols>
    <col min="1" max="1" width="1.77734375" style="247" customWidth="1"/>
    <col min="2" max="2" width="3.88671875" style="22" customWidth="1"/>
    <col min="3" max="3" width="4.6640625" style="22" customWidth="1"/>
    <col min="4" max="4" width="6.6640625" style="22" customWidth="1"/>
    <col min="5" max="5" width="3.77734375" style="22" customWidth="1"/>
    <col min="6" max="6" width="7.88671875" style="22" customWidth="1"/>
    <col min="7" max="14" width="6.44140625" style="22" customWidth="1"/>
    <col min="15" max="15" width="4.77734375" style="22" customWidth="1"/>
    <col min="16" max="17" width="1.77734375" style="247" customWidth="1"/>
    <col min="18" max="25" width="4.77734375" style="22" customWidth="1"/>
    <col min="26" max="26" width="5.6640625" style="22" customWidth="1"/>
    <col min="27" max="28" width="7.21875" style="22" customWidth="1"/>
    <col min="29" max="29" width="2.33203125" style="22" customWidth="1"/>
    <col min="30" max="30" width="1.77734375" style="247" customWidth="1"/>
    <col min="31" max="46" width="4.77734375" style="22" customWidth="1"/>
    <col min="47" max="47" width="8.77734375" style="22"/>
    <col min="48" max="71" width="3" style="22" customWidth="1"/>
    <col min="72" max="16384" width="8.77734375" style="22"/>
  </cols>
  <sheetData>
    <row r="1" spans="1:71" s="247" customFormat="1" ht="9" customHeight="1" x14ac:dyDescent="0.3">
      <c r="A1" s="245"/>
      <c r="B1" s="245"/>
      <c r="C1" s="259"/>
      <c r="D1" s="245"/>
      <c r="E1" s="314"/>
      <c r="F1" s="314"/>
      <c r="G1" s="245"/>
      <c r="H1" s="245"/>
      <c r="I1" s="245"/>
      <c r="J1" s="245"/>
      <c r="K1" s="245"/>
      <c r="L1" s="245"/>
      <c r="M1" s="245"/>
      <c r="N1" s="245"/>
      <c r="O1" s="245"/>
      <c r="P1" s="245"/>
      <c r="Q1" s="333"/>
      <c r="R1" s="249"/>
      <c r="S1" s="249"/>
      <c r="T1" s="249"/>
      <c r="U1" s="249"/>
      <c r="V1" s="249"/>
      <c r="W1" s="249"/>
      <c r="X1" s="249"/>
      <c r="Y1" s="249"/>
      <c r="Z1" s="249"/>
      <c r="AA1" s="249"/>
      <c r="AB1" s="249"/>
      <c r="AC1" s="249"/>
      <c r="AD1" s="249"/>
      <c r="AE1" s="249"/>
      <c r="AF1" s="249"/>
      <c r="AG1" s="249"/>
      <c r="AH1" s="249"/>
      <c r="AI1" s="249"/>
      <c r="AJ1" s="249"/>
      <c r="AK1" s="249"/>
      <c r="AL1" s="249"/>
      <c r="AM1" s="249"/>
      <c r="AN1" s="249"/>
      <c r="AP1" s="249"/>
      <c r="AQ1" s="249"/>
      <c r="AR1" s="249"/>
      <c r="AS1" s="249"/>
      <c r="AT1" s="249"/>
      <c r="AU1" s="249"/>
      <c r="AV1" s="249"/>
      <c r="AW1" s="249"/>
      <c r="AX1" s="249"/>
    </row>
    <row r="2" spans="1:71" ht="18.600000000000001" customHeight="1" x14ac:dyDescent="0.3">
      <c r="A2" s="245"/>
      <c r="B2" s="335" t="s">
        <v>211</v>
      </c>
      <c r="F2" s="285" t="s">
        <v>18</v>
      </c>
      <c r="G2" s="285"/>
      <c r="H2" s="285"/>
      <c r="I2" s="285"/>
      <c r="J2" s="285"/>
      <c r="K2" s="285"/>
      <c r="L2" s="285"/>
      <c r="M2" s="285"/>
      <c r="N2" s="285"/>
      <c r="P2" s="245"/>
      <c r="Q2" s="333"/>
      <c r="R2" s="333"/>
      <c r="S2" s="333"/>
      <c r="T2" s="333"/>
      <c r="U2" s="333"/>
      <c r="V2" s="333"/>
      <c r="W2" s="333"/>
      <c r="X2" s="333"/>
      <c r="Y2" s="333"/>
      <c r="Z2" s="333"/>
      <c r="AA2" s="333"/>
      <c r="AB2" s="333"/>
      <c r="AC2" s="333"/>
      <c r="AD2" s="333"/>
      <c r="AE2" s="333"/>
      <c r="AF2" s="333"/>
      <c r="AG2" s="333"/>
      <c r="AV2" s="37" t="s">
        <v>150</v>
      </c>
    </row>
    <row r="3" spans="1:71" ht="27" customHeight="1" x14ac:dyDescent="0.5">
      <c r="A3" s="245"/>
      <c r="D3" s="23"/>
      <c r="E3" s="23"/>
      <c r="F3" s="25">
        <v>1</v>
      </c>
      <c r="G3" s="25">
        <v>2</v>
      </c>
      <c r="H3" s="25">
        <v>3</v>
      </c>
      <c r="I3" s="25">
        <v>4</v>
      </c>
      <c r="J3" s="25">
        <v>5</v>
      </c>
      <c r="K3" s="25">
        <v>6</v>
      </c>
      <c r="L3" s="25">
        <v>7</v>
      </c>
      <c r="M3" s="25">
        <v>8</v>
      </c>
      <c r="N3" s="25">
        <v>9</v>
      </c>
      <c r="P3" s="245"/>
      <c r="Q3" s="333"/>
      <c r="R3" s="333"/>
      <c r="S3" s="333"/>
      <c r="T3" s="333"/>
      <c r="U3" s="333"/>
      <c r="V3" s="333"/>
      <c r="W3" s="333"/>
      <c r="X3" s="333"/>
      <c r="Y3" s="333"/>
      <c r="Z3" s="333"/>
      <c r="AA3" s="333"/>
      <c r="AB3" s="333"/>
      <c r="AC3" s="333"/>
      <c r="AD3" s="333"/>
      <c r="AE3" s="333"/>
      <c r="AF3" s="333"/>
      <c r="AG3" s="333"/>
      <c r="AV3" s="299" t="s">
        <v>149</v>
      </c>
      <c r="AW3" s="299"/>
      <c r="AX3" s="299"/>
      <c r="AY3" s="299"/>
      <c r="AZ3" s="299"/>
      <c r="BA3" s="299"/>
      <c r="BB3" s="299"/>
      <c r="BC3" s="299"/>
      <c r="BD3" s="299"/>
      <c r="BE3" s="299"/>
      <c r="BF3" s="299"/>
      <c r="BG3" s="299"/>
      <c r="BH3" s="299"/>
      <c r="BI3" s="299"/>
      <c r="BJ3" s="299"/>
      <c r="BK3" s="299"/>
      <c r="BL3" s="299"/>
      <c r="BM3" s="299"/>
      <c r="BN3" s="299"/>
      <c r="BO3" s="299"/>
      <c r="BP3" s="299"/>
      <c r="BQ3" s="299"/>
      <c r="BR3" s="299"/>
      <c r="BS3" s="299"/>
    </row>
    <row r="4" spans="1:71" ht="27" customHeight="1" x14ac:dyDescent="0.3">
      <c r="A4" s="245"/>
      <c r="B4" s="286" t="s">
        <v>145</v>
      </c>
      <c r="C4" s="30"/>
      <c r="D4" s="289" t="s">
        <v>140</v>
      </c>
      <c r="E4" s="33">
        <v>9</v>
      </c>
      <c r="F4" s="24"/>
      <c r="G4" s="24"/>
      <c r="H4" s="24"/>
      <c r="I4" s="24"/>
      <c r="J4" s="24"/>
      <c r="K4" s="24"/>
      <c r="L4" s="24"/>
      <c r="M4" s="24"/>
      <c r="N4" s="24"/>
      <c r="P4" s="245"/>
      <c r="Q4" s="333"/>
      <c r="R4" s="333"/>
      <c r="S4" s="333"/>
      <c r="T4" s="333"/>
      <c r="U4" s="333"/>
      <c r="V4" s="333"/>
      <c r="W4" s="333"/>
      <c r="X4" s="333"/>
      <c r="Y4" s="333"/>
      <c r="Z4" s="333"/>
      <c r="AA4" s="333"/>
      <c r="AB4" s="333"/>
      <c r="AC4" s="333"/>
      <c r="AD4" s="333"/>
      <c r="AE4" s="333"/>
      <c r="AF4" s="333"/>
      <c r="AG4" s="333"/>
    </row>
    <row r="5" spans="1:71" ht="27" customHeight="1" x14ac:dyDescent="0.3">
      <c r="A5" s="245"/>
      <c r="B5" s="286"/>
      <c r="C5" s="31"/>
      <c r="D5" s="290"/>
      <c r="E5" s="33">
        <v>8</v>
      </c>
      <c r="F5" s="38"/>
      <c r="G5" s="38"/>
      <c r="H5" s="38"/>
      <c r="I5" s="38"/>
      <c r="J5" s="38"/>
      <c r="K5" s="38"/>
      <c r="L5" s="38"/>
      <c r="M5" s="38"/>
      <c r="N5" s="38"/>
      <c r="P5" s="245"/>
      <c r="Q5" s="333"/>
      <c r="R5" s="333"/>
      <c r="S5" s="333"/>
      <c r="T5" s="333"/>
      <c r="U5" s="333"/>
      <c r="V5" s="333"/>
      <c r="W5" s="333"/>
      <c r="X5" s="333"/>
      <c r="Y5" s="333"/>
      <c r="Z5" s="333"/>
      <c r="AA5" s="333"/>
      <c r="AB5" s="333"/>
      <c r="AC5" s="333"/>
      <c r="AD5" s="333"/>
      <c r="AE5" s="333"/>
      <c r="AF5" s="333"/>
      <c r="AG5" s="333"/>
    </row>
    <row r="6" spans="1:71" ht="27" customHeight="1" x14ac:dyDescent="0.3">
      <c r="A6" s="245"/>
      <c r="B6" s="286"/>
      <c r="C6" s="32"/>
      <c r="D6" s="290"/>
      <c r="E6" s="33">
        <v>7</v>
      </c>
      <c r="F6" s="24"/>
      <c r="G6" s="24"/>
      <c r="H6" s="24"/>
      <c r="I6" s="24"/>
      <c r="J6" s="24"/>
      <c r="K6" s="24"/>
      <c r="L6" s="24"/>
      <c r="M6" s="24"/>
      <c r="N6" s="24"/>
      <c r="P6" s="245"/>
      <c r="Q6" s="333"/>
      <c r="R6" s="333"/>
      <c r="S6" s="333"/>
      <c r="T6" s="333"/>
      <c r="U6" s="333"/>
      <c r="V6" s="333"/>
      <c r="W6" s="333"/>
      <c r="X6" s="333"/>
      <c r="Y6" s="333"/>
      <c r="Z6" s="333"/>
      <c r="AA6" s="333"/>
      <c r="AB6" s="333"/>
      <c r="AC6" s="333"/>
      <c r="AD6" s="333"/>
      <c r="AE6" s="333"/>
      <c r="AF6" s="333"/>
      <c r="AG6" s="333"/>
      <c r="AV6" s="34">
        <v>1</v>
      </c>
      <c r="AW6" s="34">
        <v>2</v>
      </c>
      <c r="AX6" s="34">
        <v>3</v>
      </c>
      <c r="AY6" s="34">
        <v>4</v>
      </c>
      <c r="AZ6" s="34">
        <v>5</v>
      </c>
      <c r="BA6" s="34">
        <v>6</v>
      </c>
      <c r="BB6" s="34">
        <v>7</v>
      </c>
      <c r="BC6" s="34">
        <v>8</v>
      </c>
      <c r="BD6" s="34">
        <v>9</v>
      </c>
      <c r="BE6" s="34">
        <v>10</v>
      </c>
      <c r="BF6" s="34">
        <v>11</v>
      </c>
      <c r="BG6" s="34">
        <v>12</v>
      </c>
      <c r="BH6" s="34">
        <v>1</v>
      </c>
      <c r="BI6" s="34">
        <v>2</v>
      </c>
      <c r="BJ6" s="34">
        <v>3</v>
      </c>
      <c r="BK6" s="34">
        <v>4</v>
      </c>
      <c r="BL6" s="34">
        <v>5</v>
      </c>
      <c r="BM6" s="34">
        <v>6</v>
      </c>
      <c r="BN6" s="34">
        <v>7</v>
      </c>
      <c r="BO6" s="34">
        <v>8</v>
      </c>
      <c r="BP6" s="34">
        <v>9</v>
      </c>
      <c r="BQ6" s="34">
        <v>10</v>
      </c>
      <c r="BR6" s="34">
        <v>11</v>
      </c>
      <c r="BS6" s="34">
        <v>12</v>
      </c>
    </row>
    <row r="7" spans="1:71" ht="27" customHeight="1" x14ac:dyDescent="0.3">
      <c r="A7" s="245"/>
      <c r="B7" s="286"/>
      <c r="C7" s="30"/>
      <c r="D7" s="289" t="s">
        <v>141</v>
      </c>
      <c r="E7" s="33">
        <v>6</v>
      </c>
      <c r="F7" s="38"/>
      <c r="G7" s="38"/>
      <c r="H7" s="38"/>
      <c r="I7" s="38"/>
      <c r="J7" s="38"/>
      <c r="K7" s="38"/>
      <c r="L7" s="38"/>
      <c r="M7" s="38"/>
      <c r="N7" s="38"/>
      <c r="P7" s="245"/>
      <c r="Q7" s="333"/>
      <c r="R7" s="333"/>
      <c r="S7" s="333"/>
      <c r="T7" s="333"/>
      <c r="U7" s="333"/>
      <c r="V7" s="333"/>
      <c r="W7" s="333"/>
      <c r="X7" s="333"/>
      <c r="Y7" s="333"/>
      <c r="Z7" s="333"/>
      <c r="AA7" s="333"/>
      <c r="AB7" s="333"/>
      <c r="AC7" s="333"/>
      <c r="AD7" s="333"/>
      <c r="AE7" s="333"/>
      <c r="AF7" s="333"/>
      <c r="AG7" s="333"/>
      <c r="AO7" s="36" t="s">
        <v>139</v>
      </c>
    </row>
    <row r="8" spans="1:71" ht="27" customHeight="1" x14ac:dyDescent="0.3">
      <c r="A8" s="245"/>
      <c r="B8" s="286"/>
      <c r="C8" s="31"/>
      <c r="D8" s="290"/>
      <c r="E8" s="33">
        <v>5</v>
      </c>
      <c r="F8" s="24"/>
      <c r="G8" s="24"/>
      <c r="H8" s="24"/>
      <c r="I8" s="24"/>
      <c r="J8" s="24"/>
      <c r="K8" s="24"/>
      <c r="L8" s="24"/>
      <c r="M8" s="24"/>
      <c r="N8" s="24"/>
      <c r="P8" s="245"/>
      <c r="Q8" s="333"/>
      <c r="R8" s="333"/>
      <c r="S8" s="333"/>
      <c r="T8" s="333"/>
      <c r="U8" s="333"/>
      <c r="V8" s="333"/>
      <c r="W8" s="333"/>
      <c r="X8" s="333"/>
      <c r="Y8" s="333"/>
      <c r="Z8" s="333"/>
      <c r="AA8" s="333"/>
      <c r="AB8" s="333"/>
      <c r="AC8" s="333"/>
      <c r="AD8" s="333"/>
      <c r="AE8" s="333"/>
      <c r="AF8" s="333"/>
      <c r="AG8" s="333"/>
      <c r="AO8" s="35" t="s">
        <v>146</v>
      </c>
    </row>
    <row r="9" spans="1:71" ht="27" customHeight="1" x14ac:dyDescent="0.3">
      <c r="A9" s="245"/>
      <c r="B9" s="286"/>
      <c r="C9" s="32"/>
      <c r="D9" s="290"/>
      <c r="E9" s="33">
        <v>4</v>
      </c>
      <c r="F9" s="38"/>
      <c r="G9" s="38"/>
      <c r="H9" s="38"/>
      <c r="I9" s="38"/>
      <c r="J9" s="38"/>
      <c r="K9" s="38"/>
      <c r="L9" s="38"/>
      <c r="M9" s="38"/>
      <c r="N9" s="38"/>
      <c r="P9" s="245"/>
      <c r="Q9" s="333"/>
      <c r="R9" s="333"/>
      <c r="S9" s="333"/>
      <c r="T9" s="333"/>
      <c r="U9" s="333"/>
      <c r="V9" s="333"/>
      <c r="W9" s="333"/>
      <c r="X9" s="333"/>
      <c r="Y9" s="333"/>
      <c r="Z9" s="333"/>
      <c r="AA9" s="333"/>
      <c r="AB9" s="333"/>
      <c r="AC9" s="333"/>
      <c r="AD9" s="333"/>
      <c r="AE9" s="333"/>
      <c r="AF9" s="333"/>
      <c r="AG9" s="333"/>
      <c r="AO9" s="35" t="s">
        <v>147</v>
      </c>
    </row>
    <row r="10" spans="1:71" ht="27" customHeight="1" x14ac:dyDescent="0.3">
      <c r="A10" s="245"/>
      <c r="B10" s="286"/>
      <c r="C10" s="30"/>
      <c r="D10" s="289" t="s">
        <v>130</v>
      </c>
      <c r="E10" s="33">
        <v>3</v>
      </c>
      <c r="F10" s="24"/>
      <c r="G10" s="24"/>
      <c r="H10" s="24"/>
      <c r="I10" s="24"/>
      <c r="J10" s="24"/>
      <c r="K10" s="24"/>
      <c r="L10" s="24"/>
      <c r="M10" s="24"/>
      <c r="N10" s="24"/>
      <c r="P10" s="245"/>
      <c r="Q10" s="333"/>
      <c r="R10" s="333"/>
      <c r="S10" s="333"/>
      <c r="T10" s="333"/>
      <c r="U10" s="333"/>
      <c r="V10" s="333"/>
      <c r="W10" s="333"/>
      <c r="X10" s="333"/>
      <c r="Y10" s="333"/>
      <c r="Z10" s="333"/>
      <c r="AA10" s="333"/>
      <c r="AB10" s="333"/>
      <c r="AC10" s="333"/>
      <c r="AD10" s="333"/>
      <c r="AE10" s="333"/>
      <c r="AF10" s="333"/>
      <c r="AG10" s="333"/>
      <c r="AO10" s="35" t="s">
        <v>148</v>
      </c>
    </row>
    <row r="11" spans="1:71" ht="27" customHeight="1" x14ac:dyDescent="0.3">
      <c r="A11" s="245"/>
      <c r="B11" s="286"/>
      <c r="C11" s="31"/>
      <c r="D11" s="290"/>
      <c r="E11" s="33">
        <v>2</v>
      </c>
      <c r="F11" s="38"/>
      <c r="G11" s="38"/>
      <c r="H11" s="38"/>
      <c r="I11" s="38"/>
      <c r="J11" s="38"/>
      <c r="K11" s="38"/>
      <c r="L11" s="38"/>
      <c r="M11" s="38"/>
      <c r="N11" s="38"/>
      <c r="P11" s="245"/>
      <c r="Q11" s="333"/>
      <c r="R11" s="333"/>
      <c r="S11" s="333"/>
      <c r="T11" s="333"/>
      <c r="U11" s="333"/>
      <c r="V11" s="333"/>
      <c r="W11" s="333"/>
      <c r="X11" s="333"/>
      <c r="Y11" s="333"/>
      <c r="Z11" s="333"/>
      <c r="AA11" s="333"/>
      <c r="AB11" s="333"/>
      <c r="AC11" s="333"/>
      <c r="AD11" s="333"/>
      <c r="AE11" s="333"/>
      <c r="AF11" s="333"/>
      <c r="AG11" s="333"/>
    </row>
    <row r="12" spans="1:71" ht="27" customHeight="1" x14ac:dyDescent="0.3">
      <c r="A12" s="245"/>
      <c r="B12" s="286"/>
      <c r="C12" s="32"/>
      <c r="D12" s="290"/>
      <c r="E12" s="33">
        <v>1</v>
      </c>
      <c r="F12" s="24"/>
      <c r="G12" s="24"/>
      <c r="H12" s="24"/>
      <c r="I12" s="24"/>
      <c r="J12" s="24"/>
      <c r="K12" s="24"/>
      <c r="L12" s="24"/>
      <c r="M12" s="24"/>
      <c r="N12" s="24"/>
      <c r="P12" s="245"/>
      <c r="Q12" s="333"/>
      <c r="R12" s="333"/>
      <c r="S12" s="333"/>
      <c r="T12" s="333"/>
      <c r="U12" s="333"/>
      <c r="V12" s="333"/>
      <c r="W12" s="333"/>
      <c r="X12" s="333"/>
      <c r="Y12" s="333"/>
      <c r="Z12" s="333"/>
      <c r="AA12" s="333"/>
      <c r="AB12" s="333"/>
      <c r="AC12" s="333"/>
      <c r="AD12" s="333"/>
      <c r="AE12" s="333"/>
      <c r="AF12" s="333"/>
      <c r="AG12" s="333"/>
      <c r="AV12" s="37" t="s">
        <v>152</v>
      </c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</row>
    <row r="13" spans="1:71" ht="27" customHeight="1" x14ac:dyDescent="0.3">
      <c r="A13" s="245"/>
      <c r="C13" s="23"/>
      <c r="D13" s="23"/>
      <c r="E13" s="23"/>
      <c r="F13" s="291" t="s">
        <v>142</v>
      </c>
      <c r="G13" s="293" t="s">
        <v>143</v>
      </c>
      <c r="H13" s="294"/>
      <c r="I13" s="295"/>
      <c r="J13" s="293" t="s">
        <v>144</v>
      </c>
      <c r="K13" s="294"/>
      <c r="L13" s="294"/>
      <c r="M13" s="295"/>
      <c r="N13" s="287"/>
      <c r="O13" s="23"/>
      <c r="P13" s="245"/>
      <c r="Q13" s="333"/>
      <c r="R13" s="333"/>
      <c r="S13" s="334"/>
      <c r="T13" s="334"/>
      <c r="U13" s="334"/>
      <c r="V13" s="334"/>
      <c r="W13" s="334"/>
      <c r="X13" s="334"/>
      <c r="Y13" s="334"/>
      <c r="Z13" s="334"/>
      <c r="AA13" s="334"/>
      <c r="AB13" s="334"/>
      <c r="AC13" s="334"/>
      <c r="AD13" s="334"/>
      <c r="AE13" s="334"/>
      <c r="AF13" s="334"/>
      <c r="AG13" s="334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71" ht="27" customHeight="1" x14ac:dyDescent="0.5">
      <c r="A14" s="245"/>
      <c r="D14" s="23"/>
      <c r="E14" s="23"/>
      <c r="F14" s="292"/>
      <c r="G14" s="296"/>
      <c r="H14" s="297"/>
      <c r="I14" s="298"/>
      <c r="J14" s="296"/>
      <c r="K14" s="297"/>
      <c r="L14" s="297"/>
      <c r="M14" s="298"/>
      <c r="N14" s="288"/>
      <c r="P14" s="245"/>
      <c r="Q14" s="333"/>
      <c r="R14" s="333"/>
      <c r="S14" s="333"/>
      <c r="T14" s="333"/>
      <c r="U14" s="333"/>
      <c r="V14" s="333"/>
      <c r="W14" s="333"/>
      <c r="X14" s="333"/>
      <c r="Y14" s="333"/>
      <c r="Z14" s="333"/>
      <c r="AA14" s="333"/>
      <c r="AB14" s="333"/>
      <c r="AC14" s="333"/>
      <c r="AD14" s="333"/>
      <c r="AE14" s="333"/>
      <c r="AF14" s="333"/>
      <c r="AG14" s="333"/>
      <c r="AV14" s="299" t="s">
        <v>151</v>
      </c>
      <c r="AW14" s="299"/>
      <c r="AX14" s="299"/>
      <c r="AY14" s="299"/>
      <c r="AZ14" s="299"/>
      <c r="BA14" s="299"/>
      <c r="BB14" s="299"/>
      <c r="BC14" s="299"/>
      <c r="BD14" s="299"/>
      <c r="BE14" s="299"/>
      <c r="BF14" s="299"/>
      <c r="BG14" s="299"/>
      <c r="BH14" s="299"/>
      <c r="BI14" s="299"/>
      <c r="BJ14" s="299"/>
      <c r="BK14" s="299"/>
      <c r="BL14" s="299"/>
      <c r="BM14" s="299"/>
      <c r="BN14" s="299"/>
      <c r="BO14" s="299"/>
      <c r="BP14" s="299"/>
      <c r="BQ14" s="299"/>
      <c r="BR14" s="299"/>
      <c r="BS14" s="299"/>
    </row>
    <row r="15" spans="1:71" ht="14.4" customHeight="1" x14ac:dyDescent="0.3">
      <c r="A15" s="245"/>
      <c r="O15" s="336" t="s">
        <v>211</v>
      </c>
      <c r="P15" s="245"/>
      <c r="Q15" s="333"/>
      <c r="R15" s="333"/>
      <c r="S15" s="333"/>
      <c r="T15" s="333"/>
      <c r="U15" s="333"/>
      <c r="V15" s="333"/>
      <c r="W15" s="333"/>
      <c r="X15" s="333"/>
      <c r="Y15" s="333"/>
      <c r="Z15" s="333"/>
      <c r="AA15" s="333"/>
      <c r="AB15" s="333"/>
      <c r="AC15" s="333"/>
      <c r="AD15" s="333"/>
      <c r="AE15" s="333"/>
      <c r="AF15" s="333"/>
      <c r="AG15" s="333"/>
    </row>
    <row r="16" spans="1:71" s="247" customFormat="1" ht="9" customHeight="1" x14ac:dyDescent="0.25">
      <c r="A16" s="245"/>
      <c r="B16" s="245"/>
      <c r="C16" s="259"/>
      <c r="D16" s="245"/>
      <c r="E16" s="314"/>
      <c r="F16" s="314"/>
      <c r="G16" s="245"/>
      <c r="H16" s="245"/>
      <c r="I16" s="245"/>
      <c r="J16" s="245"/>
      <c r="K16" s="245"/>
      <c r="L16" s="245"/>
      <c r="M16" s="245"/>
      <c r="N16" s="245"/>
      <c r="O16" s="245"/>
      <c r="P16" s="245"/>
      <c r="Q16" s="245"/>
      <c r="R16" s="245"/>
      <c r="S16" s="245"/>
      <c r="T16" s="245"/>
      <c r="U16" s="245"/>
      <c r="V16" s="245"/>
      <c r="W16" s="245"/>
      <c r="X16" s="245"/>
      <c r="Y16" s="245"/>
      <c r="Z16" s="245"/>
      <c r="AA16" s="245"/>
      <c r="AB16" s="245"/>
      <c r="AC16" s="245"/>
      <c r="AD16" s="245"/>
      <c r="AE16" s="249"/>
      <c r="AF16" s="249"/>
      <c r="AG16" s="249"/>
      <c r="AH16" s="249"/>
      <c r="AI16" s="249"/>
      <c r="AJ16" s="249"/>
      <c r="AK16" s="249"/>
      <c r="AL16" s="249"/>
      <c r="AM16" s="249"/>
      <c r="AN16" s="249"/>
      <c r="AP16" s="249"/>
      <c r="AQ16" s="249"/>
      <c r="AR16" s="249"/>
      <c r="AS16" s="249"/>
      <c r="AT16" s="249"/>
      <c r="AU16" s="249"/>
      <c r="AV16" s="249"/>
      <c r="AW16" s="249"/>
      <c r="AX16" s="249"/>
    </row>
    <row r="17" spans="1:71" ht="27" customHeight="1" x14ac:dyDescent="0.3">
      <c r="A17" s="81"/>
      <c r="P17" s="245"/>
      <c r="Q17" s="318" t="s">
        <v>211</v>
      </c>
      <c r="AD17" s="245"/>
    </row>
    <row r="18" spans="1:71" ht="27" customHeight="1" x14ac:dyDescent="0.3">
      <c r="A18" s="81"/>
      <c r="P18" s="245"/>
      <c r="Q18" s="81"/>
      <c r="AD18" s="245"/>
    </row>
    <row r="19" spans="1:71" ht="24" customHeight="1" x14ac:dyDescent="0.3">
      <c r="A19" s="81"/>
      <c r="P19" s="245"/>
      <c r="Q19" s="81"/>
      <c r="AD19" s="245"/>
      <c r="AV19" s="300"/>
      <c r="AW19" s="300"/>
    </row>
    <row r="20" spans="1:71" ht="27" customHeight="1" x14ac:dyDescent="0.3">
      <c r="A20" s="81"/>
      <c r="P20" s="245"/>
      <c r="Q20" s="81"/>
      <c r="AD20" s="245"/>
      <c r="AV20" s="284">
        <v>1</v>
      </c>
      <c r="AW20" s="284"/>
      <c r="AX20" s="284">
        <v>2</v>
      </c>
      <c r="AY20" s="284"/>
      <c r="AZ20" s="284">
        <v>3</v>
      </c>
      <c r="BA20" s="284"/>
      <c r="BB20" s="284">
        <v>4</v>
      </c>
      <c r="BC20" s="284"/>
      <c r="BD20" s="284">
        <v>5</v>
      </c>
      <c r="BE20" s="284"/>
      <c r="BF20" s="284">
        <v>6</v>
      </c>
      <c r="BG20" s="284"/>
      <c r="BH20" s="284">
        <v>7</v>
      </c>
      <c r="BI20" s="284"/>
      <c r="BJ20" s="284">
        <v>8</v>
      </c>
      <c r="BK20" s="284"/>
      <c r="BL20" s="284">
        <v>9</v>
      </c>
      <c r="BM20" s="284"/>
      <c r="BN20" s="284">
        <v>10</v>
      </c>
      <c r="BO20" s="284"/>
      <c r="BP20" s="284">
        <v>11</v>
      </c>
      <c r="BQ20" s="284"/>
      <c r="BR20" s="284">
        <v>12</v>
      </c>
      <c r="BS20" s="284"/>
    </row>
    <row r="21" spans="1:71" ht="27" customHeight="1" x14ac:dyDescent="0.3">
      <c r="A21" s="81"/>
      <c r="P21" s="245"/>
      <c r="Q21" s="81"/>
      <c r="AD21" s="245"/>
      <c r="AO21" s="36" t="s">
        <v>139</v>
      </c>
    </row>
    <row r="22" spans="1:71" ht="27" customHeight="1" x14ac:dyDescent="0.3">
      <c r="A22" s="81"/>
      <c r="P22" s="245"/>
      <c r="Q22" s="81"/>
      <c r="AC22" s="336" t="s">
        <v>211</v>
      </c>
      <c r="AD22" s="245"/>
      <c r="AO22" s="35" t="s">
        <v>146</v>
      </c>
    </row>
    <row r="23" spans="1:71" s="247" customFormat="1" ht="9" customHeight="1" x14ac:dyDescent="0.3">
      <c r="A23" s="81"/>
      <c r="B23" s="22"/>
      <c r="C23" s="22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45"/>
      <c r="Q23" s="245"/>
      <c r="R23" s="245"/>
      <c r="S23" s="245"/>
      <c r="T23" s="245"/>
      <c r="U23" s="245"/>
      <c r="V23" s="245"/>
      <c r="W23" s="245"/>
      <c r="X23" s="245"/>
      <c r="Y23" s="245"/>
      <c r="Z23" s="245"/>
      <c r="AA23" s="245"/>
      <c r="AB23" s="245"/>
      <c r="AC23" s="245"/>
      <c r="AD23" s="245"/>
      <c r="AE23" s="249"/>
      <c r="AF23" s="249"/>
      <c r="AG23" s="249"/>
      <c r="AH23" s="249"/>
      <c r="AI23" s="249"/>
      <c r="AJ23" s="249"/>
      <c r="AK23" s="249"/>
      <c r="AL23" s="249"/>
      <c r="AM23" s="249"/>
      <c r="AN23" s="249"/>
      <c r="AP23" s="249"/>
      <c r="AQ23" s="249"/>
      <c r="AR23" s="249"/>
      <c r="AS23" s="249"/>
      <c r="AT23" s="249"/>
      <c r="AU23" s="249"/>
      <c r="AV23" s="249"/>
      <c r="AW23" s="249"/>
      <c r="AX23" s="249"/>
    </row>
    <row r="24" spans="1:71" ht="27" customHeight="1" x14ac:dyDescent="0.3">
      <c r="A24" s="81"/>
      <c r="P24" s="81"/>
      <c r="Q24" s="81"/>
      <c r="AD24" s="81"/>
      <c r="AO24" s="35" t="s">
        <v>147</v>
      </c>
    </row>
    <row r="25" spans="1:71" ht="27" customHeight="1" x14ac:dyDescent="0.3">
      <c r="A25" s="81"/>
      <c r="P25" s="81"/>
      <c r="Q25" s="81"/>
      <c r="AD25" s="81"/>
      <c r="AO25" s="35" t="s">
        <v>148</v>
      </c>
    </row>
    <row r="26" spans="1:71" ht="27" customHeight="1" x14ac:dyDescent="0.3">
      <c r="A26" s="81"/>
      <c r="P26" s="81"/>
      <c r="Q26" s="81"/>
      <c r="AD26" s="81"/>
    </row>
    <row r="27" spans="1:71" ht="27" customHeight="1" x14ac:dyDescent="0.3">
      <c r="A27" s="81"/>
      <c r="P27" s="81"/>
      <c r="Q27" s="81"/>
      <c r="AD27" s="81"/>
    </row>
    <row r="28" spans="1:71" ht="27" customHeight="1" x14ac:dyDescent="0.3">
      <c r="A28" s="81"/>
      <c r="P28" s="81"/>
      <c r="Q28" s="81"/>
      <c r="AD28" s="81"/>
    </row>
    <row r="29" spans="1:71" ht="27" customHeight="1" x14ac:dyDescent="0.3">
      <c r="A29" s="81"/>
      <c r="P29" s="81"/>
      <c r="Q29" s="81"/>
      <c r="AD29" s="81"/>
    </row>
    <row r="30" spans="1:71" ht="27" customHeight="1" x14ac:dyDescent="0.3">
      <c r="A30" s="81"/>
      <c r="P30" s="81"/>
      <c r="Q30" s="81"/>
      <c r="AD30" s="81"/>
    </row>
    <row r="31" spans="1:71" ht="27" customHeight="1" x14ac:dyDescent="0.3">
      <c r="A31" s="81"/>
      <c r="P31" s="81"/>
      <c r="Q31" s="81"/>
      <c r="AD31" s="81"/>
    </row>
    <row r="32" spans="1:71" ht="27" customHeight="1" x14ac:dyDescent="0.3">
      <c r="A32" s="81"/>
      <c r="P32" s="81"/>
      <c r="Q32" s="81"/>
      <c r="AD32" s="81"/>
    </row>
    <row r="33" spans="1:30" ht="27" customHeight="1" x14ac:dyDescent="0.3">
      <c r="A33" s="81"/>
      <c r="P33" s="81"/>
      <c r="Q33" s="81"/>
      <c r="AD33" s="81"/>
    </row>
    <row r="34" spans="1:30" ht="27" customHeight="1" x14ac:dyDescent="0.3">
      <c r="A34" s="81"/>
      <c r="P34" s="81"/>
      <c r="Q34" s="81"/>
      <c r="AD34" s="81"/>
    </row>
    <row r="35" spans="1:30" ht="27" customHeight="1" x14ac:dyDescent="0.3">
      <c r="A35" s="81"/>
      <c r="P35" s="81"/>
      <c r="Q35" s="81"/>
      <c r="AD35" s="81"/>
    </row>
    <row r="36" spans="1:30" ht="27" customHeight="1" x14ac:dyDescent="0.3">
      <c r="A36" s="81"/>
      <c r="P36" s="81"/>
      <c r="Q36" s="81"/>
      <c r="AD36" s="81"/>
    </row>
    <row r="37" spans="1:30" ht="27" customHeight="1" x14ac:dyDescent="0.3">
      <c r="A37" s="81"/>
      <c r="P37" s="81"/>
      <c r="Q37" s="81"/>
      <c r="AD37" s="81"/>
    </row>
    <row r="38" spans="1:30" ht="27" customHeight="1" x14ac:dyDescent="0.3">
      <c r="A38" s="81"/>
      <c r="P38" s="81"/>
      <c r="Q38" s="81"/>
      <c r="AD38" s="81"/>
    </row>
    <row r="39" spans="1:30" ht="27" customHeight="1" x14ac:dyDescent="0.3">
      <c r="A39" s="81"/>
      <c r="P39" s="81"/>
      <c r="Q39" s="81"/>
      <c r="AD39" s="81"/>
    </row>
    <row r="40" spans="1:30" ht="27" customHeight="1" x14ac:dyDescent="0.3">
      <c r="A40" s="81"/>
      <c r="P40" s="81"/>
      <c r="Q40" s="81"/>
      <c r="AD40" s="81"/>
    </row>
    <row r="41" spans="1:30" ht="27" customHeight="1" x14ac:dyDescent="0.3">
      <c r="A41" s="81"/>
      <c r="P41" s="81"/>
      <c r="Q41" s="81"/>
      <c r="AD41" s="81"/>
    </row>
    <row r="42" spans="1:30" ht="27" customHeight="1" x14ac:dyDescent="0.3">
      <c r="A42" s="81"/>
      <c r="P42" s="81"/>
      <c r="Q42" s="81"/>
      <c r="AD42" s="81"/>
    </row>
    <row r="43" spans="1:30" ht="27" customHeight="1" x14ac:dyDescent="0.3">
      <c r="A43" s="81"/>
      <c r="P43" s="81"/>
      <c r="Q43" s="81"/>
      <c r="AD43" s="81"/>
    </row>
    <row r="44" spans="1:30" ht="27" customHeight="1" x14ac:dyDescent="0.3">
      <c r="A44" s="81"/>
      <c r="P44" s="81"/>
      <c r="Q44" s="81"/>
      <c r="AD44" s="81"/>
    </row>
    <row r="45" spans="1:30" ht="27" customHeight="1" x14ac:dyDescent="0.3">
      <c r="A45" s="81"/>
      <c r="P45" s="81"/>
      <c r="Q45" s="81"/>
      <c r="AD45" s="81"/>
    </row>
    <row r="46" spans="1:30" ht="27" customHeight="1" x14ac:dyDescent="0.3">
      <c r="A46" s="81"/>
      <c r="P46" s="81"/>
      <c r="Q46" s="81"/>
      <c r="AD46" s="81"/>
    </row>
    <row r="47" spans="1:30" ht="27" customHeight="1" x14ac:dyDescent="0.3">
      <c r="A47" s="248"/>
      <c r="P47" s="248"/>
      <c r="Q47" s="248"/>
      <c r="AD47" s="248"/>
    </row>
    <row r="48" spans="1:30" ht="27" customHeight="1" x14ac:dyDescent="0.3">
      <c r="A48" s="248"/>
      <c r="P48" s="248"/>
      <c r="Q48" s="248"/>
      <c r="AD48" s="248"/>
    </row>
    <row r="49" spans="1:30" ht="27" customHeight="1" x14ac:dyDescent="0.3">
      <c r="A49" s="248"/>
      <c r="P49" s="248"/>
      <c r="Q49" s="248"/>
      <c r="AD49" s="248"/>
    </row>
    <row r="50" spans="1:30" ht="27" customHeight="1" x14ac:dyDescent="0.3">
      <c r="A50" s="248"/>
      <c r="P50" s="248"/>
      <c r="Q50" s="248"/>
      <c r="AD50" s="248"/>
    </row>
    <row r="51" spans="1:30" ht="27" customHeight="1" x14ac:dyDescent="0.3">
      <c r="A51" s="248"/>
      <c r="P51" s="248"/>
      <c r="Q51" s="248"/>
      <c r="AD51" s="248"/>
    </row>
    <row r="52" spans="1:30" ht="27" customHeight="1" x14ac:dyDescent="0.3">
      <c r="A52" s="248"/>
      <c r="P52" s="248"/>
      <c r="Q52" s="248"/>
      <c r="AD52" s="248"/>
    </row>
    <row r="53" spans="1:30" ht="27" customHeight="1" x14ac:dyDescent="0.3">
      <c r="A53" s="248"/>
      <c r="P53" s="248"/>
      <c r="Q53" s="248"/>
      <c r="AD53" s="248"/>
    </row>
    <row r="54" spans="1:30" ht="27" customHeight="1" x14ac:dyDescent="0.3">
      <c r="A54" s="248"/>
      <c r="P54" s="248"/>
      <c r="Q54" s="248"/>
      <c r="AD54" s="248"/>
    </row>
    <row r="55" spans="1:30" ht="27" customHeight="1" x14ac:dyDescent="0.3">
      <c r="A55" s="248"/>
      <c r="P55" s="248"/>
      <c r="Q55" s="248"/>
      <c r="AD55" s="248"/>
    </row>
    <row r="56" spans="1:30" ht="27" customHeight="1" x14ac:dyDescent="0.3">
      <c r="A56" s="248"/>
      <c r="P56" s="248"/>
      <c r="Q56" s="248"/>
      <c r="AD56" s="248"/>
    </row>
    <row r="57" spans="1:30" ht="27" customHeight="1" x14ac:dyDescent="0.3">
      <c r="A57" s="248"/>
      <c r="P57" s="248"/>
      <c r="Q57" s="248"/>
      <c r="AD57" s="248"/>
    </row>
    <row r="58" spans="1:30" ht="27" customHeight="1" x14ac:dyDescent="0.3">
      <c r="A58" s="248"/>
      <c r="P58" s="248"/>
      <c r="Q58" s="248"/>
      <c r="AD58" s="248"/>
    </row>
    <row r="59" spans="1:30" ht="27" customHeight="1" x14ac:dyDescent="0.3">
      <c r="A59" s="248"/>
      <c r="P59" s="248"/>
      <c r="Q59" s="248"/>
      <c r="AD59" s="248"/>
    </row>
    <row r="60" spans="1:30" ht="27" customHeight="1" x14ac:dyDescent="0.3">
      <c r="A60" s="248"/>
      <c r="P60" s="248"/>
      <c r="Q60" s="248"/>
      <c r="AD60" s="248"/>
    </row>
    <row r="61" spans="1:30" ht="27" customHeight="1" x14ac:dyDescent="0.3">
      <c r="A61" s="248"/>
      <c r="P61" s="248"/>
      <c r="Q61" s="248"/>
      <c r="AD61" s="248"/>
    </row>
    <row r="62" spans="1:30" ht="27" customHeight="1" x14ac:dyDescent="0.3">
      <c r="A62" s="248"/>
      <c r="P62" s="248"/>
      <c r="Q62" s="248"/>
      <c r="AD62" s="248"/>
    </row>
    <row r="63" spans="1:30" ht="27" customHeight="1" x14ac:dyDescent="0.3">
      <c r="A63" s="248"/>
      <c r="P63" s="248"/>
      <c r="Q63" s="248"/>
      <c r="AD63" s="248"/>
    </row>
    <row r="64" spans="1:30" ht="27" customHeight="1" x14ac:dyDescent="0.3">
      <c r="A64" s="248"/>
      <c r="P64" s="248"/>
      <c r="Q64" s="248"/>
      <c r="AD64" s="248"/>
    </row>
    <row r="65" spans="1:30" ht="27" customHeight="1" x14ac:dyDescent="0.3">
      <c r="A65" s="248"/>
      <c r="P65" s="248"/>
      <c r="Q65" s="248"/>
      <c r="AD65" s="248"/>
    </row>
    <row r="66" spans="1:30" ht="27" customHeight="1" x14ac:dyDescent="0.3">
      <c r="A66" s="248"/>
      <c r="P66" s="248"/>
      <c r="Q66" s="248"/>
      <c r="AD66" s="248"/>
    </row>
    <row r="67" spans="1:30" ht="27" customHeight="1" x14ac:dyDescent="0.3">
      <c r="A67" s="248"/>
      <c r="P67" s="248"/>
      <c r="Q67" s="248"/>
      <c r="AD67" s="248"/>
    </row>
    <row r="68" spans="1:30" ht="27" customHeight="1" x14ac:dyDescent="0.3">
      <c r="A68" s="248"/>
      <c r="P68" s="248"/>
      <c r="Q68" s="248"/>
      <c r="AD68" s="248"/>
    </row>
    <row r="69" spans="1:30" ht="27" customHeight="1" x14ac:dyDescent="0.3">
      <c r="A69" s="248"/>
      <c r="P69" s="248"/>
      <c r="Q69" s="248"/>
      <c r="AD69" s="248"/>
    </row>
    <row r="70" spans="1:30" ht="27" customHeight="1" x14ac:dyDescent="0.3">
      <c r="A70" s="248"/>
      <c r="P70" s="248"/>
      <c r="Q70" s="248"/>
      <c r="AD70" s="248"/>
    </row>
    <row r="71" spans="1:30" ht="27" customHeight="1" x14ac:dyDescent="0.3">
      <c r="A71" s="248"/>
      <c r="P71" s="248"/>
      <c r="Q71" s="248"/>
      <c r="AD71" s="248"/>
    </row>
    <row r="72" spans="1:30" ht="27" customHeight="1" x14ac:dyDescent="0.3">
      <c r="A72" s="248"/>
      <c r="P72" s="248"/>
      <c r="Q72" s="248"/>
      <c r="AD72" s="248"/>
    </row>
    <row r="73" spans="1:30" ht="27" customHeight="1" x14ac:dyDescent="0.3">
      <c r="A73" s="248"/>
      <c r="P73" s="248"/>
      <c r="Q73" s="248"/>
      <c r="AD73" s="248"/>
    </row>
    <row r="74" spans="1:30" ht="27" customHeight="1" x14ac:dyDescent="0.3">
      <c r="A74" s="248"/>
      <c r="P74" s="248"/>
      <c r="Q74" s="248"/>
      <c r="AD74" s="248"/>
    </row>
    <row r="75" spans="1:30" ht="27" customHeight="1" x14ac:dyDescent="0.3">
      <c r="A75" s="248"/>
      <c r="P75" s="248"/>
      <c r="Q75" s="248"/>
      <c r="AD75" s="248"/>
    </row>
    <row r="76" spans="1:30" ht="27" customHeight="1" x14ac:dyDescent="0.3">
      <c r="A76" s="248"/>
      <c r="P76" s="248"/>
      <c r="Q76" s="248"/>
      <c r="AD76" s="248"/>
    </row>
    <row r="77" spans="1:30" ht="27" customHeight="1" x14ac:dyDescent="0.3">
      <c r="A77" s="248"/>
      <c r="P77" s="248"/>
      <c r="Q77" s="248"/>
      <c r="AD77" s="248"/>
    </row>
    <row r="78" spans="1:30" ht="27" customHeight="1" x14ac:dyDescent="0.3">
      <c r="A78" s="248"/>
      <c r="P78" s="248"/>
      <c r="Q78" s="248"/>
      <c r="AD78" s="248"/>
    </row>
    <row r="79" spans="1:30" ht="27" customHeight="1" x14ac:dyDescent="0.3">
      <c r="A79" s="248"/>
      <c r="P79" s="248"/>
      <c r="Q79" s="248"/>
      <c r="AD79" s="248"/>
    </row>
    <row r="80" spans="1:30" ht="27" customHeight="1" x14ac:dyDescent="0.3">
      <c r="A80" s="248"/>
      <c r="P80" s="248"/>
      <c r="Q80" s="248"/>
      <c r="AD80" s="248"/>
    </row>
    <row r="81" spans="1:30" ht="27" customHeight="1" x14ac:dyDescent="0.3">
      <c r="A81" s="248"/>
      <c r="P81" s="248"/>
      <c r="Q81" s="248"/>
      <c r="AD81" s="248"/>
    </row>
    <row r="82" spans="1:30" ht="27" customHeight="1" x14ac:dyDescent="0.3">
      <c r="A82" s="248"/>
      <c r="P82" s="248"/>
      <c r="Q82" s="248"/>
      <c r="AD82" s="248"/>
    </row>
    <row r="83" spans="1:30" ht="27" customHeight="1" x14ac:dyDescent="0.3">
      <c r="A83" s="248"/>
      <c r="P83" s="248"/>
      <c r="Q83" s="248"/>
      <c r="AD83" s="248"/>
    </row>
    <row r="84" spans="1:30" ht="27" customHeight="1" x14ac:dyDescent="0.3">
      <c r="A84" s="248"/>
      <c r="P84" s="248"/>
      <c r="Q84" s="248"/>
      <c r="AD84" s="248"/>
    </row>
    <row r="85" spans="1:30" ht="27" customHeight="1" x14ac:dyDescent="0.3">
      <c r="A85" s="248"/>
      <c r="P85" s="248"/>
      <c r="Q85" s="248"/>
      <c r="AD85" s="248"/>
    </row>
    <row r="86" spans="1:30" ht="27" customHeight="1" x14ac:dyDescent="0.3">
      <c r="A86" s="248"/>
      <c r="P86" s="248"/>
      <c r="Q86" s="248"/>
      <c r="AD86" s="248"/>
    </row>
    <row r="87" spans="1:30" ht="27" customHeight="1" x14ac:dyDescent="0.3">
      <c r="A87" s="248"/>
      <c r="P87" s="248"/>
      <c r="Q87" s="248"/>
      <c r="AD87" s="248"/>
    </row>
    <row r="88" spans="1:30" ht="27" customHeight="1" x14ac:dyDescent="0.3">
      <c r="A88" s="248"/>
      <c r="P88" s="248"/>
      <c r="Q88" s="248"/>
      <c r="AD88" s="248"/>
    </row>
    <row r="89" spans="1:30" ht="27" customHeight="1" x14ac:dyDescent="0.3">
      <c r="A89" s="248"/>
      <c r="P89" s="248"/>
      <c r="Q89" s="248"/>
      <c r="AD89" s="248"/>
    </row>
    <row r="90" spans="1:30" ht="27" customHeight="1" x14ac:dyDescent="0.3">
      <c r="A90" s="248"/>
      <c r="P90" s="248"/>
      <c r="Q90" s="248"/>
      <c r="AD90" s="248"/>
    </row>
    <row r="91" spans="1:30" ht="27" customHeight="1" x14ac:dyDescent="0.3">
      <c r="A91" s="248"/>
      <c r="P91" s="248"/>
      <c r="Q91" s="248"/>
      <c r="AD91" s="248"/>
    </row>
    <row r="92" spans="1:30" ht="27" customHeight="1" x14ac:dyDescent="0.3">
      <c r="A92" s="248"/>
      <c r="P92" s="248"/>
      <c r="Q92" s="248"/>
      <c r="AD92" s="248"/>
    </row>
    <row r="93" spans="1:30" ht="27" customHeight="1" x14ac:dyDescent="0.3">
      <c r="A93" s="248"/>
      <c r="P93" s="248"/>
      <c r="Q93" s="248"/>
      <c r="AD93" s="248"/>
    </row>
    <row r="94" spans="1:30" ht="27" customHeight="1" x14ac:dyDescent="0.3">
      <c r="A94" s="248"/>
      <c r="P94" s="248"/>
      <c r="Q94" s="248"/>
      <c r="AD94" s="248"/>
    </row>
    <row r="95" spans="1:30" ht="27" customHeight="1" x14ac:dyDescent="0.3">
      <c r="A95" s="248"/>
      <c r="P95" s="248"/>
      <c r="Q95" s="248"/>
      <c r="AD95" s="248"/>
    </row>
    <row r="96" spans="1:30" ht="27" customHeight="1" x14ac:dyDescent="0.3">
      <c r="A96" s="248"/>
      <c r="P96" s="248"/>
      <c r="Q96" s="248"/>
      <c r="AD96" s="248"/>
    </row>
    <row r="97" spans="1:30" ht="27" customHeight="1" x14ac:dyDescent="0.3">
      <c r="A97" s="248"/>
      <c r="P97" s="248"/>
      <c r="Q97" s="248"/>
      <c r="AD97" s="248"/>
    </row>
    <row r="98" spans="1:30" ht="27" customHeight="1" x14ac:dyDescent="0.3">
      <c r="A98" s="248"/>
      <c r="P98" s="248"/>
      <c r="Q98" s="248"/>
      <c r="AD98" s="248"/>
    </row>
    <row r="99" spans="1:30" ht="27" customHeight="1" x14ac:dyDescent="0.3">
      <c r="A99" s="248"/>
      <c r="P99" s="248"/>
      <c r="Q99" s="248"/>
      <c r="AD99" s="248"/>
    </row>
    <row r="100" spans="1:30" ht="27" customHeight="1" x14ac:dyDescent="0.3">
      <c r="A100" s="248"/>
      <c r="P100" s="248"/>
      <c r="Q100" s="248"/>
      <c r="AD100" s="248"/>
    </row>
    <row r="101" spans="1:30" ht="27" customHeight="1" x14ac:dyDescent="0.3">
      <c r="A101" s="248"/>
      <c r="P101" s="248"/>
      <c r="Q101" s="248"/>
      <c r="AD101" s="248"/>
    </row>
    <row r="102" spans="1:30" ht="27" customHeight="1" x14ac:dyDescent="0.3">
      <c r="A102" s="248"/>
      <c r="P102" s="248"/>
      <c r="Q102" s="248"/>
      <c r="AD102" s="248"/>
    </row>
    <row r="103" spans="1:30" ht="27" customHeight="1" x14ac:dyDescent="0.3">
      <c r="A103" s="248"/>
      <c r="P103" s="248"/>
      <c r="Q103" s="248"/>
      <c r="AD103" s="248"/>
    </row>
    <row r="104" spans="1:30" ht="27" customHeight="1" x14ac:dyDescent="0.3">
      <c r="A104" s="248"/>
      <c r="P104" s="248"/>
      <c r="Q104" s="248"/>
      <c r="AD104" s="248"/>
    </row>
    <row r="105" spans="1:30" ht="27" customHeight="1" x14ac:dyDescent="0.3">
      <c r="A105" s="248"/>
      <c r="P105" s="248"/>
      <c r="Q105" s="248"/>
      <c r="AD105" s="248"/>
    </row>
    <row r="106" spans="1:30" ht="27" customHeight="1" x14ac:dyDescent="0.3">
      <c r="A106" s="248"/>
      <c r="P106" s="248"/>
      <c r="Q106" s="248"/>
      <c r="AD106" s="248"/>
    </row>
    <row r="107" spans="1:30" ht="27" customHeight="1" x14ac:dyDescent="0.3">
      <c r="A107" s="248"/>
      <c r="P107" s="248"/>
      <c r="Q107" s="248"/>
      <c r="AD107" s="248"/>
    </row>
    <row r="108" spans="1:30" ht="27" customHeight="1" x14ac:dyDescent="0.3">
      <c r="A108" s="248"/>
      <c r="P108" s="248"/>
      <c r="Q108" s="248"/>
      <c r="AD108" s="248"/>
    </row>
    <row r="109" spans="1:30" ht="27" customHeight="1" x14ac:dyDescent="0.3">
      <c r="A109" s="248"/>
      <c r="P109" s="248"/>
      <c r="Q109" s="248"/>
      <c r="AD109" s="248"/>
    </row>
  </sheetData>
  <mergeCells count="24">
    <mergeCell ref="BN20:BO20"/>
    <mergeCell ref="BP20:BQ20"/>
    <mergeCell ref="BR20:BS20"/>
    <mergeCell ref="F2:N2"/>
    <mergeCell ref="B4:B12"/>
    <mergeCell ref="N13:N14"/>
    <mergeCell ref="D4:D6"/>
    <mergeCell ref="D7:D9"/>
    <mergeCell ref="D10:D12"/>
    <mergeCell ref="F13:F14"/>
    <mergeCell ref="G13:I14"/>
    <mergeCell ref="J13:M14"/>
    <mergeCell ref="AV3:BS3"/>
    <mergeCell ref="AV14:BS14"/>
    <mergeCell ref="AV19:AW19"/>
    <mergeCell ref="AV20:AW20"/>
    <mergeCell ref="BH20:BI20"/>
    <mergeCell ref="BJ20:BK20"/>
    <mergeCell ref="BL20:BM20"/>
    <mergeCell ref="AX20:AY20"/>
    <mergeCell ref="AZ20:BA20"/>
    <mergeCell ref="BB20:BC20"/>
    <mergeCell ref="BD20:BE20"/>
    <mergeCell ref="BF20:BG20"/>
  </mergeCells>
  <phoneticPr fontId="9" type="noConversion"/>
  <pageMargins left="0.7" right="0.7" top="0.75" bottom="0.75" header="0.3" footer="0.3"/>
  <pageSetup paperSize="9" scale="78" orientation="portrait" horizontalDpi="4294967292" verticalDpi="4294967292"/>
  <colBreaks count="1" manualBreakCount="1">
    <brk id="47" max="1048575" man="1"/>
  </colBreaks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W94"/>
  <sheetViews>
    <sheetView zoomScaleNormal="100" workbookViewId="0">
      <selection activeCell="J30" sqref="J30"/>
    </sheetView>
  </sheetViews>
  <sheetFormatPr defaultRowHeight="13.2" x14ac:dyDescent="0.25"/>
  <cols>
    <col min="1" max="1" width="4.44140625" customWidth="1"/>
    <col min="2" max="4" width="10.6640625" style="56" bestFit="1" customWidth="1"/>
    <col min="5" max="5" width="11.77734375" style="56" bestFit="1" customWidth="1"/>
    <col min="6" max="6" width="34.6640625" bestFit="1" customWidth="1"/>
    <col min="7" max="7" width="22.5546875" customWidth="1"/>
    <col min="8" max="8" width="17.21875" customWidth="1"/>
    <col min="9" max="9" width="24" customWidth="1"/>
    <col min="10" max="10" width="47.33203125" bestFit="1" customWidth="1"/>
    <col min="12" max="12" width="31.44140625" customWidth="1"/>
    <col min="14" max="14" width="8" customWidth="1"/>
    <col min="15" max="15" width="48.77734375" style="215" bestFit="1" customWidth="1"/>
    <col min="16" max="16" width="16.21875" style="144" customWidth="1"/>
    <col min="17" max="17" width="16.5546875" style="144" customWidth="1"/>
    <col min="18" max="18" width="16.21875" style="144" customWidth="1"/>
    <col min="20" max="20" width="48.77734375" style="215" bestFit="1" customWidth="1"/>
    <col min="21" max="23" width="8.88671875" style="144"/>
  </cols>
  <sheetData>
    <row r="2" spans="2:23" s="142" customFormat="1" x14ac:dyDescent="0.25">
      <c r="B2" s="161" t="s">
        <v>175</v>
      </c>
      <c r="C2" s="162" t="s">
        <v>176</v>
      </c>
      <c r="D2" s="162" t="s">
        <v>177</v>
      </c>
      <c r="E2" s="162" t="s">
        <v>179</v>
      </c>
      <c r="O2" s="214"/>
      <c r="P2" s="144"/>
      <c r="Q2" s="144"/>
      <c r="R2" s="144"/>
      <c r="T2" s="214"/>
      <c r="U2" s="144"/>
      <c r="V2" s="144"/>
      <c r="W2" s="144"/>
    </row>
    <row r="3" spans="2:23" x14ac:dyDescent="0.25">
      <c r="B3" s="163">
        <f>costiACBD!E40</f>
        <v>0</v>
      </c>
      <c r="C3" s="163">
        <f>costiACBD!F40</f>
        <v>0</v>
      </c>
      <c r="D3" s="163">
        <f>costiACBD!G40</f>
        <v>0</v>
      </c>
      <c r="E3" s="170">
        <f>AVERAGE(B3:D3)</f>
        <v>0</v>
      </c>
      <c r="M3" s="1"/>
    </row>
    <row r="4" spans="2:23" x14ac:dyDescent="0.25">
      <c r="E4" s="170">
        <f>creditoSpettante!D15-grafici!E3</f>
        <v>0</v>
      </c>
      <c r="F4" s="64" t="s">
        <v>180</v>
      </c>
      <c r="M4" s="1"/>
    </row>
    <row r="5" spans="2:23" x14ac:dyDescent="0.25">
      <c r="F5" s="81"/>
      <c r="G5" s="81"/>
      <c r="H5" s="81"/>
      <c r="I5" s="81"/>
      <c r="J5" s="1"/>
      <c r="M5" s="1"/>
    </row>
    <row r="6" spans="2:23" x14ac:dyDescent="0.25">
      <c r="F6" s="81"/>
      <c r="G6" s="87" t="s">
        <v>157</v>
      </c>
      <c r="H6" s="81"/>
      <c r="I6" s="81"/>
      <c r="J6" s="1"/>
      <c r="M6" s="1"/>
    </row>
    <row r="7" spans="2:23" x14ac:dyDescent="0.25">
      <c r="F7" s="81"/>
      <c r="G7" s="81"/>
      <c r="H7" s="81"/>
      <c r="I7" s="81"/>
      <c r="J7" s="1"/>
      <c r="M7" s="1"/>
    </row>
    <row r="8" spans="2:23" x14ac:dyDescent="0.25">
      <c r="F8" s="81"/>
      <c r="G8" s="81"/>
      <c r="H8" s="81"/>
      <c r="I8" s="81"/>
      <c r="J8" s="1"/>
      <c r="M8" s="1"/>
    </row>
    <row r="9" spans="2:23" x14ac:dyDescent="0.25">
      <c r="F9" s="81"/>
      <c r="G9" s="81"/>
      <c r="H9" s="81"/>
      <c r="I9" s="81"/>
      <c r="J9" s="1"/>
      <c r="M9" s="1"/>
    </row>
    <row r="10" spans="2:23" x14ac:dyDescent="0.25">
      <c r="F10" s="81"/>
      <c r="G10" s="81"/>
      <c r="H10" s="81"/>
      <c r="I10" s="81"/>
      <c r="J10" s="1"/>
      <c r="M10" s="1"/>
    </row>
    <row r="11" spans="2:23" x14ac:dyDescent="0.25">
      <c r="F11" s="81"/>
      <c r="G11" s="81"/>
      <c r="H11" s="81"/>
      <c r="I11" s="81"/>
      <c r="J11" s="1"/>
      <c r="M11" s="1"/>
    </row>
    <row r="12" spans="2:23" ht="24" customHeight="1" x14ac:dyDescent="0.25">
      <c r="F12" s="81"/>
      <c r="G12" s="81"/>
      <c r="H12" s="81"/>
      <c r="I12" s="81"/>
      <c r="J12" s="1"/>
      <c r="M12" s="1"/>
    </row>
    <row r="13" spans="2:23" x14ac:dyDescent="0.25">
      <c r="F13" s="81"/>
      <c r="G13" s="81"/>
      <c r="H13" s="81"/>
      <c r="I13" s="81"/>
      <c r="J13" s="1"/>
      <c r="M13" s="1"/>
    </row>
    <row r="14" spans="2:23" x14ac:dyDescent="0.25">
      <c r="F14" s="81"/>
      <c r="G14" s="81"/>
      <c r="H14" s="81"/>
      <c r="I14" s="81"/>
      <c r="J14" s="1"/>
      <c r="M14" s="1"/>
    </row>
    <row r="15" spans="2:23" x14ac:dyDescent="0.25">
      <c r="F15" s="81"/>
      <c r="G15" s="81"/>
      <c r="H15" s="81"/>
      <c r="I15" s="81"/>
      <c r="J15" s="1"/>
      <c r="M15" s="1"/>
    </row>
    <row r="16" spans="2:23" x14ac:dyDescent="0.25">
      <c r="F16" s="81"/>
      <c r="G16" s="81"/>
      <c r="H16" s="81"/>
      <c r="I16" s="81"/>
      <c r="J16" s="1"/>
      <c r="M16" s="1"/>
    </row>
    <row r="17" spans="2:23" x14ac:dyDescent="0.25">
      <c r="F17" s="81"/>
      <c r="G17" s="81"/>
      <c r="H17" s="81"/>
      <c r="I17" s="81"/>
      <c r="J17" s="1"/>
      <c r="M17" s="1"/>
    </row>
    <row r="18" spans="2:23" x14ac:dyDescent="0.25">
      <c r="F18" s="81"/>
      <c r="G18" s="81"/>
      <c r="H18" s="81"/>
      <c r="I18" s="81"/>
      <c r="J18" s="1"/>
      <c r="M18" s="1"/>
    </row>
    <row r="19" spans="2:23" x14ac:dyDescent="0.25">
      <c r="F19" s="81"/>
      <c r="G19" s="81"/>
      <c r="H19" s="81"/>
      <c r="I19" s="81"/>
      <c r="J19" s="1"/>
      <c r="M19" s="1"/>
    </row>
    <row r="20" spans="2:23" x14ac:dyDescent="0.25">
      <c r="F20" s="81"/>
      <c r="G20" s="81"/>
      <c r="H20" s="81"/>
      <c r="I20" s="81"/>
      <c r="J20" s="1"/>
      <c r="M20" s="1"/>
    </row>
    <row r="21" spans="2:23" x14ac:dyDescent="0.25">
      <c r="F21" s="81"/>
      <c r="G21" s="81"/>
      <c r="H21" s="81"/>
      <c r="I21" s="81"/>
      <c r="J21" s="1"/>
      <c r="M21" s="1"/>
    </row>
    <row r="22" spans="2:23" x14ac:dyDescent="0.25">
      <c r="F22" s="81"/>
      <c r="G22" s="81"/>
      <c r="H22" s="81"/>
      <c r="I22" s="81"/>
      <c r="J22" s="1"/>
      <c r="M22" s="1"/>
    </row>
    <row r="23" spans="2:23" x14ac:dyDescent="0.25">
      <c r="F23" s="81"/>
      <c r="G23" s="81"/>
      <c r="H23" s="81"/>
      <c r="I23" s="81"/>
      <c r="J23" s="1"/>
      <c r="M23" s="1"/>
    </row>
    <row r="24" spans="2:23" x14ac:dyDescent="0.25">
      <c r="F24" s="81"/>
      <c r="G24" s="81"/>
      <c r="H24" s="81"/>
      <c r="I24" s="81"/>
      <c r="J24" s="1"/>
      <c r="M24" s="1"/>
    </row>
    <row r="25" spans="2:23" x14ac:dyDescent="0.25">
      <c r="F25" s="81"/>
      <c r="G25" s="81"/>
      <c r="H25" s="81"/>
      <c r="I25" s="81"/>
      <c r="J25" s="78" t="s">
        <v>169</v>
      </c>
      <c r="K25" s="79">
        <f>dipendenti!T20</f>
        <v>0</v>
      </c>
      <c r="L25" s="5"/>
      <c r="M25" s="79">
        <f>K25+K26</f>
        <v>0</v>
      </c>
    </row>
    <row r="26" spans="2:23" s="1" customFormat="1" x14ac:dyDescent="0.25">
      <c r="B26" s="56"/>
      <c r="C26" s="56"/>
      <c r="D26" s="56"/>
      <c r="E26" s="56"/>
      <c r="F26" s="81"/>
      <c r="G26" s="81"/>
      <c r="H26" s="81"/>
      <c r="I26" s="81"/>
      <c r="J26" s="78" t="s">
        <v>170</v>
      </c>
      <c r="K26" s="80">
        <f>extramuros!I9</f>
        <v>0</v>
      </c>
      <c r="L26" s="5"/>
      <c r="M26" s="79"/>
      <c r="O26" s="215"/>
      <c r="P26" s="144"/>
      <c r="Q26" s="144"/>
      <c r="R26" s="144"/>
      <c r="T26" s="215"/>
      <c r="U26" s="144"/>
      <c r="V26" s="144"/>
      <c r="W26" s="144"/>
    </row>
    <row r="27" spans="2:23" x14ac:dyDescent="0.25">
      <c r="C27" s="58"/>
      <c r="D27" s="58"/>
      <c r="E27" s="58"/>
      <c r="F27" s="81"/>
      <c r="G27" s="81"/>
      <c r="H27" s="81"/>
      <c r="I27" s="81"/>
      <c r="M27" s="79"/>
    </row>
    <row r="28" spans="2:23" x14ac:dyDescent="0.25">
      <c r="F28" s="81"/>
      <c r="G28" s="81"/>
      <c r="H28" s="81"/>
      <c r="I28" s="81"/>
      <c r="M28" s="79"/>
    </row>
    <row r="29" spans="2:23" x14ac:dyDescent="0.25">
      <c r="F29" s="81"/>
      <c r="G29" s="81"/>
      <c r="H29" s="81"/>
      <c r="I29" s="81"/>
      <c r="M29" s="79"/>
    </row>
    <row r="30" spans="2:23" x14ac:dyDescent="0.25">
      <c r="F30" s="81"/>
      <c r="G30" s="81"/>
      <c r="H30" s="81"/>
      <c r="I30" s="81"/>
      <c r="J30" s="79"/>
      <c r="M30" s="79"/>
    </row>
    <row r="31" spans="2:23" x14ac:dyDescent="0.25">
      <c r="F31" s="81"/>
      <c r="G31" s="81"/>
      <c r="H31" s="81"/>
      <c r="I31" s="81"/>
      <c r="J31" s="79"/>
      <c r="M31" s="79"/>
    </row>
    <row r="32" spans="2:23" x14ac:dyDescent="0.25">
      <c r="F32" s="81"/>
      <c r="G32" s="81"/>
      <c r="H32" s="81"/>
      <c r="I32" s="81"/>
      <c r="J32" s="79"/>
      <c r="M32" s="79"/>
    </row>
    <row r="33" spans="6:13" x14ac:dyDescent="0.25">
      <c r="F33" s="81"/>
      <c r="G33" s="81"/>
      <c r="H33" s="81"/>
      <c r="I33" s="81"/>
      <c r="J33" s="79"/>
      <c r="M33" s="79"/>
    </row>
    <row r="34" spans="6:13" x14ac:dyDescent="0.25">
      <c r="F34" s="81"/>
      <c r="G34" s="81"/>
      <c r="H34" s="81"/>
      <c r="I34" s="81"/>
      <c r="J34" s="79"/>
      <c r="M34" s="79"/>
    </row>
    <row r="35" spans="6:13" x14ac:dyDescent="0.25">
      <c r="F35" s="81"/>
      <c r="G35" s="81"/>
      <c r="H35" s="81"/>
      <c r="I35" s="81"/>
      <c r="J35" s="79"/>
      <c r="M35" s="79"/>
    </row>
    <row r="36" spans="6:13" x14ac:dyDescent="0.25">
      <c r="F36" s="81"/>
      <c r="G36" s="81"/>
      <c r="H36" s="81"/>
      <c r="I36" s="81"/>
      <c r="J36" s="79"/>
      <c r="M36" s="79"/>
    </row>
    <row r="37" spans="6:13" x14ac:dyDescent="0.25">
      <c r="F37" s="81"/>
      <c r="G37" s="81"/>
      <c r="H37" s="81"/>
      <c r="I37" s="81"/>
      <c r="J37" s="79"/>
      <c r="M37" s="79"/>
    </row>
    <row r="38" spans="6:13" x14ac:dyDescent="0.25">
      <c r="F38" s="81"/>
      <c r="G38" s="81"/>
      <c r="H38" s="81"/>
      <c r="I38" s="81"/>
      <c r="J38" s="79"/>
      <c r="M38" s="79"/>
    </row>
    <row r="39" spans="6:13" x14ac:dyDescent="0.25">
      <c r="F39" s="81"/>
      <c r="G39" s="81"/>
      <c r="H39" s="81"/>
      <c r="I39" s="81"/>
      <c r="J39" s="79"/>
      <c r="M39" s="79"/>
    </row>
    <row r="40" spans="6:13" x14ac:dyDescent="0.25">
      <c r="F40" s="81"/>
      <c r="G40" s="81"/>
      <c r="H40" s="81"/>
      <c r="I40" s="81"/>
      <c r="J40" s="79"/>
      <c r="M40" s="79"/>
    </row>
    <row r="41" spans="6:13" x14ac:dyDescent="0.25">
      <c r="F41" s="81"/>
      <c r="G41" s="81"/>
      <c r="H41" s="81"/>
      <c r="I41" s="81"/>
      <c r="J41" s="79"/>
      <c r="M41" s="79"/>
    </row>
    <row r="42" spans="6:13" x14ac:dyDescent="0.25">
      <c r="F42" s="81"/>
      <c r="G42" s="81"/>
      <c r="H42" s="81"/>
      <c r="I42" s="81"/>
      <c r="J42" s="79"/>
      <c r="M42" s="79"/>
    </row>
    <row r="43" spans="6:13" x14ac:dyDescent="0.25">
      <c r="G43" s="5"/>
      <c r="H43" s="5"/>
      <c r="I43" s="5"/>
      <c r="J43" s="79"/>
      <c r="M43" s="79"/>
    </row>
    <row r="44" spans="6:13" x14ac:dyDescent="0.25">
      <c r="G44" s="5"/>
      <c r="H44" s="5"/>
      <c r="I44" s="5"/>
      <c r="J44" s="79"/>
      <c r="M44" s="79"/>
    </row>
    <row r="45" spans="6:13" x14ac:dyDescent="0.25">
      <c r="G45" s="5"/>
      <c r="H45" s="5"/>
      <c r="I45" s="5"/>
      <c r="J45" s="79"/>
      <c r="M45" s="79"/>
    </row>
    <row r="46" spans="6:13" x14ac:dyDescent="0.25">
      <c r="G46" s="5"/>
      <c r="H46" s="5"/>
      <c r="I46" s="5"/>
      <c r="J46" s="79"/>
      <c r="M46" s="79"/>
    </row>
    <row r="47" spans="6:13" x14ac:dyDescent="0.25">
      <c r="G47" s="5"/>
      <c r="H47" s="5"/>
      <c r="I47" s="5"/>
      <c r="J47" s="79"/>
      <c r="M47" s="79"/>
    </row>
    <row r="48" spans="6:13" x14ac:dyDescent="0.25">
      <c r="G48" s="5"/>
      <c r="H48" s="5"/>
      <c r="I48" s="5"/>
      <c r="J48" s="79"/>
      <c r="M48" s="79"/>
    </row>
    <row r="49" spans="1:13" x14ac:dyDescent="0.25">
      <c r="G49" s="5"/>
      <c r="H49" s="5"/>
      <c r="I49" s="5"/>
      <c r="J49" s="79"/>
      <c r="M49" s="79"/>
    </row>
    <row r="50" spans="1:13" x14ac:dyDescent="0.25">
      <c r="G50" s="5"/>
      <c r="H50" s="5"/>
      <c r="I50" s="5"/>
      <c r="J50" s="79"/>
      <c r="M50" s="79"/>
    </row>
    <row r="51" spans="1:13" x14ac:dyDescent="0.25">
      <c r="C51" s="58"/>
      <c r="D51" s="58"/>
      <c r="E51" s="58"/>
      <c r="M51" s="79"/>
    </row>
    <row r="52" spans="1:13" x14ac:dyDescent="0.25">
      <c r="C52" s="58"/>
      <c r="D52" s="58"/>
      <c r="E52" s="58"/>
      <c r="M52" s="79"/>
    </row>
    <row r="53" spans="1:13" x14ac:dyDescent="0.25">
      <c r="A53" s="81"/>
      <c r="F53" s="81"/>
      <c r="G53" s="81"/>
      <c r="H53" s="81"/>
      <c r="I53" s="81"/>
      <c r="J53" s="81"/>
      <c r="K53" s="81"/>
      <c r="L53" s="81"/>
    </row>
    <row r="54" spans="1:13" ht="17.399999999999999" x14ac:dyDescent="0.3">
      <c r="A54" s="81"/>
      <c r="F54" s="81"/>
      <c r="G54" s="308" t="s">
        <v>154</v>
      </c>
      <c r="H54" s="308"/>
      <c r="I54" s="308"/>
      <c r="J54" s="308"/>
      <c r="K54" s="308"/>
      <c r="L54" s="308"/>
    </row>
    <row r="55" spans="1:13" x14ac:dyDescent="0.25">
      <c r="A55" s="81"/>
      <c r="F55" s="81"/>
      <c r="G55" s="81"/>
      <c r="H55" s="81"/>
      <c r="I55" s="81"/>
      <c r="J55" s="81"/>
      <c r="K55" s="81"/>
      <c r="L55" s="81"/>
    </row>
    <row r="56" spans="1:13" x14ac:dyDescent="0.25">
      <c r="A56" s="81"/>
      <c r="F56" s="81"/>
      <c r="G56" s="309"/>
      <c r="H56" s="309"/>
      <c r="I56" s="309"/>
      <c r="J56" s="309"/>
      <c r="K56" s="309"/>
      <c r="L56" s="309"/>
    </row>
    <row r="57" spans="1:13" x14ac:dyDescent="0.25">
      <c r="A57" s="81"/>
      <c r="F57" s="81"/>
      <c r="G57" s="309"/>
      <c r="H57" s="309"/>
      <c r="I57" s="309"/>
      <c r="J57" s="309"/>
      <c r="K57" s="309"/>
      <c r="L57" s="309"/>
    </row>
    <row r="58" spans="1:13" x14ac:dyDescent="0.25">
      <c r="A58" s="81"/>
      <c r="F58" s="81"/>
      <c r="G58" s="310" t="s">
        <v>155</v>
      </c>
      <c r="H58" s="310"/>
      <c r="I58" s="310" t="s">
        <v>155</v>
      </c>
      <c r="J58" s="310"/>
      <c r="K58" s="310" t="s">
        <v>155</v>
      </c>
      <c r="L58" s="310"/>
    </row>
    <row r="59" spans="1:13" x14ac:dyDescent="0.25">
      <c r="A59" s="81"/>
      <c r="F59" s="104" t="s">
        <v>139</v>
      </c>
      <c r="G59" s="311"/>
      <c r="H59" s="311"/>
      <c r="I59" s="312"/>
      <c r="J59" s="312"/>
      <c r="K59" s="312"/>
      <c r="L59" s="312"/>
    </row>
    <row r="60" spans="1:13" x14ac:dyDescent="0.25">
      <c r="A60" s="81"/>
      <c r="F60" s="104" t="s">
        <v>146</v>
      </c>
      <c r="G60" s="311"/>
      <c r="H60" s="311"/>
      <c r="I60" s="312"/>
      <c r="J60" s="312"/>
      <c r="K60" s="312"/>
      <c r="L60" s="312"/>
    </row>
    <row r="61" spans="1:13" x14ac:dyDescent="0.25">
      <c r="A61" s="81"/>
      <c r="F61" s="104" t="s">
        <v>156</v>
      </c>
      <c r="G61" s="311"/>
      <c r="H61" s="311"/>
      <c r="I61" s="312"/>
      <c r="J61" s="312"/>
      <c r="K61" s="312"/>
      <c r="L61" s="312"/>
    </row>
    <row r="62" spans="1:13" x14ac:dyDescent="0.25">
      <c r="A62" s="81"/>
      <c r="F62" s="104" t="s">
        <v>148</v>
      </c>
      <c r="G62" s="61"/>
      <c r="H62" s="61"/>
      <c r="I62" s="1"/>
      <c r="J62" s="1"/>
      <c r="K62" s="1"/>
      <c r="L62" s="1"/>
    </row>
    <row r="63" spans="1:13" x14ac:dyDescent="0.25">
      <c r="A63" s="81"/>
      <c r="F63" s="105"/>
      <c r="G63" s="81"/>
      <c r="H63" s="81"/>
      <c r="I63" s="81"/>
      <c r="J63" s="81"/>
      <c r="K63" s="81"/>
      <c r="L63" s="81"/>
    </row>
    <row r="64" spans="1:13" x14ac:dyDescent="0.25">
      <c r="C64" s="58"/>
      <c r="D64" s="58"/>
      <c r="E64" s="58"/>
      <c r="M64" s="79"/>
    </row>
    <row r="65" spans="2:23" ht="13.8" thickBot="1" x14ac:dyDescent="0.3">
      <c r="C65" s="58"/>
      <c r="D65" s="58"/>
      <c r="E65" s="58"/>
    </row>
    <row r="66" spans="2:23" ht="14.4" thickTop="1" thickBot="1" x14ac:dyDescent="0.3">
      <c r="C66" s="58"/>
      <c r="D66" s="58"/>
      <c r="E66" s="58"/>
      <c r="O66" s="217" t="s">
        <v>185</v>
      </c>
      <c r="P66" s="218" t="s">
        <v>186</v>
      </c>
      <c r="Q66" s="305" t="s">
        <v>18</v>
      </c>
      <c r="R66" s="306"/>
    </row>
    <row r="67" spans="2:23" ht="14.4" thickTop="1" thickBot="1" x14ac:dyDescent="0.3">
      <c r="C67" s="58"/>
      <c r="D67" s="58"/>
      <c r="E67" s="58"/>
      <c r="O67" s="217" t="s">
        <v>200</v>
      </c>
      <c r="P67" s="218" t="s">
        <v>183</v>
      </c>
      <c r="Q67" s="219">
        <v>7</v>
      </c>
      <c r="R67" s="219">
        <v>7</v>
      </c>
    </row>
    <row r="68" spans="2:23" s="188" customFormat="1" ht="25.8" thickTop="1" thickBot="1" x14ac:dyDescent="0.45">
      <c r="B68" s="162"/>
      <c r="C68" s="216"/>
      <c r="D68" s="216"/>
      <c r="E68" s="216"/>
      <c r="O68" s="220" t="s">
        <v>182</v>
      </c>
      <c r="P68" s="307" t="s">
        <v>184</v>
      </c>
      <c r="Q68" s="307"/>
      <c r="R68" s="307"/>
    </row>
    <row r="69" spans="2:23" s="188" customFormat="1" ht="29.4" customHeight="1" thickTop="1" x14ac:dyDescent="0.25">
      <c r="B69" s="162"/>
      <c r="C69" s="216"/>
      <c r="D69" s="216"/>
      <c r="E69" s="216"/>
      <c r="O69" s="225" t="s">
        <v>201</v>
      </c>
      <c r="P69" s="313" t="s">
        <v>202</v>
      </c>
      <c r="Q69" s="313"/>
      <c r="R69" s="313"/>
    </row>
    <row r="70" spans="2:23" ht="13.8" thickBot="1" x14ac:dyDescent="0.3">
      <c r="C70" s="58"/>
      <c r="D70" s="58"/>
      <c r="E70" s="58"/>
      <c r="P70" s="304"/>
      <c r="Q70" s="304"/>
      <c r="R70" s="304"/>
      <c r="U70" s="304"/>
      <c r="V70" s="304"/>
      <c r="W70" s="304"/>
    </row>
    <row r="71" spans="2:23" ht="14.4" thickTop="1" thickBot="1" x14ac:dyDescent="0.3">
      <c r="C71" s="58"/>
      <c r="D71" s="58"/>
      <c r="E71" s="58"/>
      <c r="O71" s="217" t="s">
        <v>185</v>
      </c>
      <c r="P71" s="218" t="s">
        <v>186</v>
      </c>
      <c r="Q71" s="305" t="s">
        <v>18</v>
      </c>
      <c r="R71" s="306"/>
    </row>
    <row r="72" spans="2:23" ht="40.799999999999997" thickTop="1" thickBot="1" x14ac:dyDescent="0.3">
      <c r="C72" s="58"/>
      <c r="D72" s="58"/>
      <c r="E72" s="58"/>
      <c r="O72" s="217" t="s">
        <v>188</v>
      </c>
      <c r="P72" s="218" t="s">
        <v>183</v>
      </c>
      <c r="Q72" s="219">
        <v>7</v>
      </c>
      <c r="R72" s="219">
        <v>7</v>
      </c>
    </row>
    <row r="73" spans="2:23" ht="25.8" thickTop="1" thickBot="1" x14ac:dyDescent="0.45">
      <c r="C73" s="58"/>
      <c r="D73" s="58"/>
      <c r="E73" s="58"/>
      <c r="O73" s="220" t="s">
        <v>182</v>
      </c>
      <c r="P73" s="307" t="s">
        <v>184</v>
      </c>
      <c r="Q73" s="307"/>
      <c r="R73" s="307"/>
    </row>
    <row r="74" spans="2:23" s="224" customFormat="1" ht="28.2" customHeight="1" thickTop="1" x14ac:dyDescent="0.25">
      <c r="B74" s="222"/>
      <c r="C74" s="223"/>
      <c r="D74" s="223"/>
      <c r="E74" s="223"/>
      <c r="O74" s="221" t="s">
        <v>192</v>
      </c>
      <c r="P74" s="301" t="s">
        <v>193</v>
      </c>
      <c r="Q74" s="301"/>
      <c r="R74" s="301"/>
      <c r="T74" s="226"/>
      <c r="U74" s="227"/>
      <c r="V74" s="227"/>
      <c r="W74" s="227"/>
    </row>
    <row r="75" spans="2:23" ht="13.8" thickBot="1" x14ac:dyDescent="0.3">
      <c r="P75" s="304"/>
      <c r="Q75" s="304"/>
      <c r="R75" s="304"/>
    </row>
    <row r="76" spans="2:23" ht="14.4" thickTop="1" thickBot="1" x14ac:dyDescent="0.3">
      <c r="O76" s="217" t="s">
        <v>185</v>
      </c>
      <c r="P76" s="218" t="s">
        <v>186</v>
      </c>
      <c r="Q76" s="305" t="s">
        <v>18</v>
      </c>
      <c r="R76" s="306"/>
    </row>
    <row r="77" spans="2:23" ht="40.799999999999997" thickTop="1" thickBot="1" x14ac:dyDescent="0.3">
      <c r="O77" s="217" t="s">
        <v>187</v>
      </c>
      <c r="P77" s="218" t="s">
        <v>183</v>
      </c>
      <c r="Q77" s="219">
        <v>7</v>
      </c>
      <c r="R77" s="219">
        <v>7</v>
      </c>
    </row>
    <row r="78" spans="2:23" ht="25.8" thickTop="1" thickBot="1" x14ac:dyDescent="0.45">
      <c r="O78" s="220" t="s">
        <v>182</v>
      </c>
      <c r="P78" s="307" t="s">
        <v>184</v>
      </c>
      <c r="Q78" s="307"/>
      <c r="R78" s="307"/>
    </row>
    <row r="79" spans="2:23" ht="30.6" customHeight="1" thickTop="1" x14ac:dyDescent="0.25">
      <c r="O79" s="221" t="s">
        <v>194</v>
      </c>
      <c r="P79" s="301" t="s">
        <v>195</v>
      </c>
      <c r="Q79" s="302"/>
      <c r="R79" s="302"/>
    </row>
    <row r="80" spans="2:23" ht="13.8" thickBot="1" x14ac:dyDescent="0.3">
      <c r="P80" s="304"/>
      <c r="Q80" s="304"/>
      <c r="R80" s="304"/>
    </row>
    <row r="81" spans="15:18" ht="14.4" thickTop="1" thickBot="1" x14ac:dyDescent="0.3">
      <c r="O81" s="217" t="s">
        <v>185</v>
      </c>
      <c r="P81" s="218" t="s">
        <v>186</v>
      </c>
      <c r="Q81" s="305" t="s">
        <v>18</v>
      </c>
      <c r="R81" s="306"/>
    </row>
    <row r="82" spans="15:18" ht="40.799999999999997" thickTop="1" thickBot="1" x14ac:dyDescent="0.3">
      <c r="O82" s="217" t="s">
        <v>189</v>
      </c>
      <c r="P82" s="218" t="s">
        <v>183</v>
      </c>
      <c r="Q82" s="219">
        <v>7</v>
      </c>
      <c r="R82" s="219">
        <v>7</v>
      </c>
    </row>
    <row r="83" spans="15:18" ht="25.8" thickTop="1" thickBot="1" x14ac:dyDescent="0.45">
      <c r="O83" s="220" t="s">
        <v>182</v>
      </c>
      <c r="P83" s="307" t="s">
        <v>184</v>
      </c>
      <c r="Q83" s="307"/>
      <c r="R83" s="307"/>
    </row>
    <row r="84" spans="15:18" ht="39.6" customHeight="1" thickTop="1" x14ac:dyDescent="0.25">
      <c r="O84" s="221" t="s">
        <v>196</v>
      </c>
      <c r="P84" s="301" t="s">
        <v>197</v>
      </c>
      <c r="Q84" s="302"/>
      <c r="R84" s="302"/>
    </row>
    <row r="85" spans="15:18" ht="13.8" thickBot="1" x14ac:dyDescent="0.3">
      <c r="P85" s="304"/>
      <c r="Q85" s="304"/>
      <c r="R85" s="304"/>
    </row>
    <row r="86" spans="15:18" ht="14.4" thickTop="1" thickBot="1" x14ac:dyDescent="0.3">
      <c r="O86" s="217" t="s">
        <v>185</v>
      </c>
      <c r="P86" s="218" t="s">
        <v>186</v>
      </c>
      <c r="Q86" s="305" t="s">
        <v>18</v>
      </c>
      <c r="R86" s="306"/>
    </row>
    <row r="87" spans="15:18" ht="40.799999999999997" thickTop="1" thickBot="1" x14ac:dyDescent="0.3">
      <c r="O87" s="217" t="s">
        <v>190</v>
      </c>
      <c r="P87" s="218" t="s">
        <v>183</v>
      </c>
      <c r="Q87" s="219">
        <v>7</v>
      </c>
      <c r="R87" s="219">
        <v>7</v>
      </c>
    </row>
    <row r="88" spans="15:18" ht="25.8" thickTop="1" thickBot="1" x14ac:dyDescent="0.45">
      <c r="O88" s="220" t="s">
        <v>182</v>
      </c>
      <c r="P88" s="307" t="s">
        <v>184</v>
      </c>
      <c r="Q88" s="307"/>
      <c r="R88" s="307"/>
    </row>
    <row r="89" spans="15:18" ht="41.4" customHeight="1" thickTop="1" x14ac:dyDescent="0.25">
      <c r="O89" s="221" t="s">
        <v>199</v>
      </c>
      <c r="P89" s="301" t="s">
        <v>198</v>
      </c>
      <c r="Q89" s="302"/>
      <c r="R89" s="302"/>
    </row>
    <row r="90" spans="15:18" ht="13.8" thickBot="1" x14ac:dyDescent="0.3">
      <c r="P90" s="304"/>
      <c r="Q90" s="304"/>
      <c r="R90" s="304"/>
    </row>
    <row r="91" spans="15:18" ht="14.4" thickTop="1" thickBot="1" x14ac:dyDescent="0.3">
      <c r="O91" s="217" t="s">
        <v>185</v>
      </c>
      <c r="P91" s="218" t="s">
        <v>186</v>
      </c>
      <c r="Q91" s="305" t="s">
        <v>18</v>
      </c>
      <c r="R91" s="306"/>
    </row>
    <row r="92" spans="15:18" ht="40.799999999999997" thickTop="1" thickBot="1" x14ac:dyDescent="0.3">
      <c r="O92" s="217" t="s">
        <v>191</v>
      </c>
      <c r="P92" s="218" t="s">
        <v>183</v>
      </c>
      <c r="Q92" s="219">
        <v>7</v>
      </c>
      <c r="R92" s="219">
        <v>7</v>
      </c>
    </row>
    <row r="93" spans="15:18" ht="25.8" thickTop="1" thickBot="1" x14ac:dyDescent="0.45">
      <c r="O93" s="220" t="s">
        <v>182</v>
      </c>
      <c r="P93" s="307" t="s">
        <v>184</v>
      </c>
      <c r="Q93" s="307"/>
      <c r="R93" s="307"/>
    </row>
    <row r="94" spans="15:18" ht="13.8" thickTop="1" x14ac:dyDescent="0.25">
      <c r="P94" s="303"/>
      <c r="Q94" s="303"/>
      <c r="R94" s="303"/>
    </row>
  </sheetData>
  <mergeCells count="40">
    <mergeCell ref="Q71:R71"/>
    <mergeCell ref="P73:R73"/>
    <mergeCell ref="P75:R75"/>
    <mergeCell ref="Q76:R76"/>
    <mergeCell ref="P78:R78"/>
    <mergeCell ref="P74:R74"/>
    <mergeCell ref="U70:W70"/>
    <mergeCell ref="G61:H61"/>
    <mergeCell ref="I61:J61"/>
    <mergeCell ref="K61:L61"/>
    <mergeCell ref="G59:H59"/>
    <mergeCell ref="I59:J59"/>
    <mergeCell ref="K59:L59"/>
    <mergeCell ref="G60:H60"/>
    <mergeCell ref="I60:J60"/>
    <mergeCell ref="K60:L60"/>
    <mergeCell ref="P69:R69"/>
    <mergeCell ref="P68:R68"/>
    <mergeCell ref="P70:R70"/>
    <mergeCell ref="Q66:R66"/>
    <mergeCell ref="G54:L54"/>
    <mergeCell ref="G56:H57"/>
    <mergeCell ref="I56:J57"/>
    <mergeCell ref="K56:L57"/>
    <mergeCell ref="G58:H58"/>
    <mergeCell ref="I58:J58"/>
    <mergeCell ref="K58:L58"/>
    <mergeCell ref="P79:R79"/>
    <mergeCell ref="P84:R84"/>
    <mergeCell ref="P89:R89"/>
    <mergeCell ref="P94:R94"/>
    <mergeCell ref="P80:R80"/>
    <mergeCell ref="Q81:R81"/>
    <mergeCell ref="Q91:R91"/>
    <mergeCell ref="P93:R93"/>
    <mergeCell ref="P83:R83"/>
    <mergeCell ref="P85:R85"/>
    <mergeCell ref="Q86:R86"/>
    <mergeCell ref="P88:R88"/>
    <mergeCell ref="P90:R90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7"/>
  <dimension ref="A1:M44"/>
  <sheetViews>
    <sheetView workbookViewId="0">
      <selection activeCell="G27" sqref="G27"/>
    </sheetView>
  </sheetViews>
  <sheetFormatPr defaultColWidth="8.77734375" defaultRowHeight="13.2" x14ac:dyDescent="0.25"/>
  <cols>
    <col min="1" max="1" width="51.77734375" style="4" customWidth="1"/>
    <col min="2" max="2" width="11.44140625" style="4" customWidth="1"/>
    <col min="3" max="3" width="17.77734375" style="4" customWidth="1"/>
    <col min="4" max="4" width="8.77734375" style="4"/>
    <col min="5" max="5" width="16.44140625" style="4" customWidth="1"/>
    <col min="6" max="6" width="8.77734375" style="4"/>
    <col min="7" max="7" width="37.33203125" style="4" customWidth="1"/>
    <col min="8" max="8" width="8.77734375" style="4"/>
    <col min="9" max="9" width="45" style="4" customWidth="1"/>
    <col min="10" max="10" width="8.77734375" style="4"/>
    <col min="11" max="11" width="46.33203125" style="4" customWidth="1"/>
    <col min="12" max="12" width="8.77734375" style="4"/>
  </cols>
  <sheetData>
    <row r="1" spans="1:13" x14ac:dyDescent="0.25">
      <c r="A1" s="2" t="s">
        <v>25</v>
      </c>
      <c r="B1" s="2"/>
      <c r="C1" s="2" t="s">
        <v>26</v>
      </c>
      <c r="E1" s="2" t="s">
        <v>27</v>
      </c>
      <c r="G1" s="9" t="s">
        <v>28</v>
      </c>
      <c r="I1" s="2" t="s">
        <v>29</v>
      </c>
      <c r="K1" s="2" t="s">
        <v>18</v>
      </c>
      <c r="M1" s="2" t="s">
        <v>30</v>
      </c>
    </row>
    <row r="2" spans="1:13" x14ac:dyDescent="0.25">
      <c r="A2" s="3" t="s">
        <v>31</v>
      </c>
      <c r="B2" s="3"/>
      <c r="C2" s="3" t="s">
        <v>32</v>
      </c>
      <c r="E2" s="3" t="s">
        <v>33</v>
      </c>
      <c r="G2" s="7" t="s">
        <v>4</v>
      </c>
      <c r="I2" s="4" t="s">
        <v>34</v>
      </c>
      <c r="K2" s="3" t="s">
        <v>35</v>
      </c>
      <c r="M2" s="3">
        <v>2012</v>
      </c>
    </row>
    <row r="3" spans="1:13" x14ac:dyDescent="0.25">
      <c r="A3" s="3" t="s">
        <v>36</v>
      </c>
      <c r="B3" s="3"/>
      <c r="C3" s="3" t="s">
        <v>37</v>
      </c>
      <c r="E3" s="3" t="s">
        <v>38</v>
      </c>
      <c r="G3" s="8" t="s">
        <v>20</v>
      </c>
      <c r="I3" s="4" t="s">
        <v>39</v>
      </c>
      <c r="K3" s="3" t="s">
        <v>40</v>
      </c>
      <c r="M3" s="3">
        <v>2013</v>
      </c>
    </row>
    <row r="4" spans="1:13" x14ac:dyDescent="0.25">
      <c r="A4" s="3" t="s">
        <v>41</v>
      </c>
      <c r="B4" s="3"/>
      <c r="C4" s="3" t="s">
        <v>10</v>
      </c>
      <c r="E4" s="3" t="s">
        <v>8</v>
      </c>
      <c r="G4" s="7" t="s">
        <v>42</v>
      </c>
      <c r="I4" s="4" t="s">
        <v>43</v>
      </c>
      <c r="K4" s="3" t="s">
        <v>44</v>
      </c>
      <c r="M4" s="3">
        <v>2014</v>
      </c>
    </row>
    <row r="5" spans="1:13" x14ac:dyDescent="0.25">
      <c r="A5" s="3" t="s">
        <v>45</v>
      </c>
      <c r="B5" s="3"/>
      <c r="C5" s="3" t="s">
        <v>46</v>
      </c>
      <c r="E5" s="3" t="s">
        <v>47</v>
      </c>
      <c r="G5" s="8" t="s">
        <v>21</v>
      </c>
      <c r="I5" s="4" t="s">
        <v>9</v>
      </c>
      <c r="K5" s="3" t="s">
        <v>48</v>
      </c>
      <c r="M5" s="3">
        <v>2016</v>
      </c>
    </row>
    <row r="6" spans="1:13" x14ac:dyDescent="0.25">
      <c r="A6" s="3" t="s">
        <v>49</v>
      </c>
      <c r="B6" s="3"/>
      <c r="G6" s="7" t="s">
        <v>22</v>
      </c>
      <c r="I6" s="4" t="s">
        <v>50</v>
      </c>
      <c r="K6" s="3" t="s">
        <v>51</v>
      </c>
    </row>
    <row r="7" spans="1:13" x14ac:dyDescent="0.25">
      <c r="A7" s="3" t="s">
        <v>52</v>
      </c>
      <c r="B7" s="3"/>
      <c r="G7" s="8" t="s">
        <v>23</v>
      </c>
      <c r="I7" s="4" t="s">
        <v>53</v>
      </c>
      <c r="K7" s="6" t="s">
        <v>54</v>
      </c>
    </row>
    <row r="8" spans="1:13" x14ac:dyDescent="0.25">
      <c r="A8" s="3" t="s">
        <v>55</v>
      </c>
      <c r="B8" s="3"/>
      <c r="G8" s="7" t="s">
        <v>5</v>
      </c>
      <c r="K8" s="6" t="s">
        <v>56</v>
      </c>
    </row>
    <row r="9" spans="1:13" x14ac:dyDescent="0.25">
      <c r="A9" s="3" t="s">
        <v>57</v>
      </c>
      <c r="B9" s="3"/>
      <c r="G9" s="8" t="s">
        <v>58</v>
      </c>
      <c r="K9" s="6" t="s">
        <v>59</v>
      </c>
    </row>
    <row r="10" spans="1:13" x14ac:dyDescent="0.25">
      <c r="A10" s="3" t="s">
        <v>60</v>
      </c>
      <c r="B10" s="3"/>
      <c r="G10" s="7" t="s">
        <v>61</v>
      </c>
    </row>
    <row r="11" spans="1:13" x14ac:dyDescent="0.25">
      <c r="A11" s="3" t="s">
        <v>62</v>
      </c>
      <c r="B11" s="3"/>
      <c r="G11" s="10" t="s">
        <v>24</v>
      </c>
    </row>
    <row r="12" spans="1:13" x14ac:dyDescent="0.25">
      <c r="A12" s="3" t="s">
        <v>63</v>
      </c>
      <c r="B12" s="3"/>
    </row>
    <row r="13" spans="1:13" x14ac:dyDescent="0.25">
      <c r="A13" s="3" t="s">
        <v>64</v>
      </c>
      <c r="B13" s="3"/>
    </row>
    <row r="14" spans="1:13" x14ac:dyDescent="0.25">
      <c r="A14" s="3" t="s">
        <v>65</v>
      </c>
      <c r="B14" s="3"/>
    </row>
    <row r="15" spans="1:13" x14ac:dyDescent="0.25">
      <c r="A15" s="3" t="s">
        <v>66</v>
      </c>
      <c r="B15" s="3"/>
    </row>
    <row r="16" spans="1:13" x14ac:dyDescent="0.25">
      <c r="A16" s="3" t="s">
        <v>67</v>
      </c>
      <c r="B16" s="3"/>
    </row>
    <row r="17" spans="1:2" x14ac:dyDescent="0.25">
      <c r="A17" s="3" t="s">
        <v>68</v>
      </c>
      <c r="B17" s="3"/>
    </row>
    <row r="18" spans="1:2" x14ac:dyDescent="0.25">
      <c r="A18" s="3" t="s">
        <v>69</v>
      </c>
      <c r="B18" s="3"/>
    </row>
    <row r="19" spans="1:2" x14ac:dyDescent="0.25">
      <c r="A19" s="3" t="s">
        <v>70</v>
      </c>
      <c r="B19" s="3"/>
    </row>
    <row r="20" spans="1:2" x14ac:dyDescent="0.25">
      <c r="A20" s="3" t="s">
        <v>71</v>
      </c>
      <c r="B20" s="3"/>
    </row>
    <row r="21" spans="1:2" x14ac:dyDescent="0.25">
      <c r="A21" s="3" t="s">
        <v>72</v>
      </c>
      <c r="B21" s="3"/>
    </row>
    <row r="22" spans="1:2" x14ac:dyDescent="0.25">
      <c r="A22" s="3" t="s">
        <v>73</v>
      </c>
      <c r="B22" s="3"/>
    </row>
    <row r="23" spans="1:2" x14ac:dyDescent="0.25">
      <c r="A23" s="3" t="s">
        <v>74</v>
      </c>
      <c r="B23" s="3"/>
    </row>
    <row r="24" spans="1:2" x14ac:dyDescent="0.25">
      <c r="A24" s="3" t="s">
        <v>75</v>
      </c>
      <c r="B24" s="3"/>
    </row>
    <row r="25" spans="1:2" x14ac:dyDescent="0.25">
      <c r="A25" s="3" t="s">
        <v>76</v>
      </c>
      <c r="B25" s="3"/>
    </row>
    <row r="26" spans="1:2" x14ac:dyDescent="0.25">
      <c r="A26" s="3" t="s">
        <v>77</v>
      </c>
      <c r="B26" s="3"/>
    </row>
    <row r="27" spans="1:2" x14ac:dyDescent="0.25">
      <c r="A27" s="3" t="s">
        <v>78</v>
      </c>
      <c r="B27" s="3"/>
    </row>
    <row r="28" spans="1:2" x14ac:dyDescent="0.25">
      <c r="A28" s="3" t="s">
        <v>79</v>
      </c>
      <c r="B28" s="3"/>
    </row>
    <row r="29" spans="1:2" x14ac:dyDescent="0.25">
      <c r="A29" s="3" t="s">
        <v>80</v>
      </c>
      <c r="B29" s="3"/>
    </row>
    <row r="30" spans="1:2" x14ac:dyDescent="0.25">
      <c r="A30" s="3" t="s">
        <v>81</v>
      </c>
      <c r="B30" s="3"/>
    </row>
    <row r="31" spans="1:2" x14ac:dyDescent="0.25">
      <c r="A31" s="3" t="s">
        <v>82</v>
      </c>
      <c r="B31" s="3"/>
    </row>
    <row r="32" spans="1:2" x14ac:dyDescent="0.25">
      <c r="A32" s="3" t="s">
        <v>83</v>
      </c>
      <c r="B32" s="3"/>
    </row>
    <row r="33" spans="1:2" x14ac:dyDescent="0.25">
      <c r="A33" s="3" t="s">
        <v>84</v>
      </c>
      <c r="B33" s="3"/>
    </row>
    <row r="34" spans="1:2" x14ac:dyDescent="0.25">
      <c r="A34" s="3" t="s">
        <v>85</v>
      </c>
      <c r="B34" s="3"/>
    </row>
    <row r="35" spans="1:2" x14ac:dyDescent="0.25">
      <c r="A35" s="3" t="s">
        <v>86</v>
      </c>
      <c r="B35" s="3"/>
    </row>
    <row r="36" spans="1:2" x14ac:dyDescent="0.25">
      <c r="A36" s="3" t="s">
        <v>87</v>
      </c>
      <c r="B36" s="3"/>
    </row>
    <row r="37" spans="1:2" x14ac:dyDescent="0.25">
      <c r="A37" s="3" t="s">
        <v>88</v>
      </c>
      <c r="B37" s="3"/>
    </row>
    <row r="38" spans="1:2" x14ac:dyDescent="0.25">
      <c r="A38" s="3" t="s">
        <v>89</v>
      </c>
      <c r="B38" s="3"/>
    </row>
    <row r="39" spans="1:2" x14ac:dyDescent="0.25">
      <c r="A39" s="3" t="s">
        <v>90</v>
      </c>
      <c r="B39" s="3"/>
    </row>
    <row r="40" spans="1:2" x14ac:dyDescent="0.25">
      <c r="A40" s="3" t="s">
        <v>91</v>
      </c>
      <c r="B40" s="3"/>
    </row>
    <row r="41" spans="1:2" x14ac:dyDescent="0.25">
      <c r="A41" s="3" t="s">
        <v>92</v>
      </c>
      <c r="B41" s="3"/>
    </row>
    <row r="42" spans="1:2" x14ac:dyDescent="0.25">
      <c r="A42" s="3" t="s">
        <v>93</v>
      </c>
      <c r="B42" s="3"/>
    </row>
    <row r="43" spans="1:2" x14ac:dyDescent="0.25">
      <c r="A43" s="3" t="s">
        <v>94</v>
      </c>
      <c r="B43" s="3"/>
    </row>
    <row r="44" spans="1:2" x14ac:dyDescent="0.25">
      <c r="A44" s="3" t="s">
        <v>95</v>
      </c>
      <c r="B44" s="3"/>
    </row>
  </sheetData>
  <sheetProtection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8</vt:i4>
      </vt:variant>
    </vt:vector>
  </HeadingPairs>
  <TitlesOfParts>
    <vt:vector size="8" baseType="lpstr">
      <vt:lpstr>anagrafica</vt:lpstr>
      <vt:lpstr>extramuros</vt:lpstr>
      <vt:lpstr>dipendenti</vt:lpstr>
      <vt:lpstr>costiACBD</vt:lpstr>
      <vt:lpstr>creditoSpettante</vt:lpstr>
      <vt:lpstr>diin</vt:lpstr>
      <vt:lpstr>grafici</vt:lpstr>
      <vt:lpstr>tabelle</vt:lpstr>
    </vt:vector>
  </TitlesOfParts>
  <Manager/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Manu</dc:creator>
  <cp:keywords/>
  <dc:description/>
  <cp:lastModifiedBy>Amedeo Lepore</cp:lastModifiedBy>
  <cp:lastPrinted>2019-03-30T16:02:53Z</cp:lastPrinted>
  <dcterms:created xsi:type="dcterms:W3CDTF">2015-09-09T15:43:47Z</dcterms:created>
  <dcterms:modified xsi:type="dcterms:W3CDTF">2019-03-31T19:42:08Z</dcterms:modified>
  <cp:category/>
</cp:coreProperties>
</file>